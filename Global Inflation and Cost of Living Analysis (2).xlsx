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C\Documents\Data Analysis With Microsoft Excel\"/>
    </mc:Choice>
  </mc:AlternateContent>
  <xr:revisionPtr revIDLastSave="0" documentId="13_ncr:1_{E61A233C-E3BF-41A3-8DDF-771BAD148E39}" xr6:coauthVersionLast="47" xr6:coauthVersionMax="47" xr10:uidLastSave="{00000000-0000-0000-0000-000000000000}"/>
  <bookViews>
    <workbookView xWindow="-110" yWindow="-110" windowWidth="19420" windowHeight="10300" tabRatio="602" firstSheet="5" activeTab="5" xr2:uid="{00000000-000D-0000-FFFF-FFFF00000000}"/>
  </bookViews>
  <sheets>
    <sheet name="Analysis (2)" sheetId="23" state="hidden" r:id="rId1"/>
    <sheet name="Research Questions" sheetId="21" r:id="rId2"/>
    <sheet name="Global Inflation Cost of Living" sheetId="25" r:id="rId3"/>
    <sheet name="Global_Inflation_Cost_of_Living" sheetId="24" state="hidden" r:id="rId4"/>
    <sheet name="Pivot Analysis" sheetId="9" r:id="rId5"/>
    <sheet name="Correlation" sheetId="20" r:id="rId6"/>
    <sheet name="Interpretation" sheetId="26" r:id="rId7"/>
    <sheet name="Introduction" sheetId="15" state="hidden" r:id="rId8"/>
    <sheet name="Master Data (1)" sheetId="18" state="hidden" r:id="rId9"/>
    <sheet name="Executive Summary" sheetId="27" r:id="rId10"/>
    <sheet name="Excel Visualization" sheetId="13" r:id="rId11"/>
  </sheets>
  <definedNames>
    <definedName name="ExternalData_2" localSheetId="3" hidden="1">Global_Inflation_Cost_of_Living!$A$1:$U$219</definedName>
    <definedName name="ExternalData_3" localSheetId="2" hidden="1">'Global Inflation Cost of Living'!$A$1:$U$219</definedName>
    <definedName name="Slicer_Country">#N/A</definedName>
    <definedName name="Slicer_Country1">#N/A</definedName>
    <definedName name="Slicer_Inflation_Year">#N/A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3" l="1"/>
  <c r="M2" i="23" s="1"/>
  <c r="L2" i="23"/>
  <c r="N2" i="23"/>
  <c r="K3" i="23"/>
  <c r="M3" i="23" s="1"/>
  <c r="L3" i="23"/>
  <c r="N3" i="23"/>
  <c r="K4" i="23"/>
  <c r="M4" i="23" s="1"/>
  <c r="L4" i="23"/>
  <c r="N4" i="23"/>
  <c r="K5" i="23"/>
  <c r="M5" i="23" s="1"/>
  <c r="L5" i="23"/>
  <c r="N5" i="23"/>
  <c r="K6" i="23"/>
  <c r="M6" i="23" s="1"/>
  <c r="L6" i="23"/>
  <c r="N6" i="23"/>
  <c r="K7" i="23"/>
  <c r="M7" i="23" s="1"/>
  <c r="L7" i="23"/>
  <c r="N7" i="23"/>
  <c r="K8" i="23"/>
  <c r="M8" i="23" s="1"/>
  <c r="L8" i="23"/>
  <c r="N8" i="23"/>
  <c r="K9" i="23"/>
  <c r="M9" i="23" s="1"/>
  <c r="L9" i="23"/>
  <c r="N9" i="23"/>
  <c r="K10" i="23"/>
  <c r="M10" i="23" s="1"/>
  <c r="L10" i="23"/>
  <c r="N10" i="23"/>
  <c r="K11" i="23"/>
  <c r="M11" i="23" s="1"/>
  <c r="L11" i="23"/>
  <c r="N11" i="23"/>
  <c r="K12" i="23"/>
  <c r="M12" i="23" s="1"/>
  <c r="L12" i="23"/>
  <c r="N12" i="23"/>
  <c r="K13" i="23"/>
  <c r="M13" i="23" s="1"/>
  <c r="L13" i="23"/>
  <c r="N13" i="23"/>
  <c r="K14" i="23"/>
  <c r="M14" i="23" s="1"/>
  <c r="L14" i="23"/>
  <c r="N14" i="23"/>
  <c r="K15" i="23"/>
  <c r="M15" i="23" s="1"/>
  <c r="L15" i="23"/>
  <c r="N15" i="23"/>
  <c r="K16" i="23"/>
  <c r="M16" i="23" s="1"/>
  <c r="L16" i="23"/>
  <c r="N16" i="23"/>
  <c r="K17" i="23"/>
  <c r="M17" i="23" s="1"/>
  <c r="L17" i="23"/>
  <c r="N17" i="23"/>
  <c r="K18" i="23"/>
  <c r="M18" i="23" s="1"/>
  <c r="L18" i="23"/>
  <c r="N18" i="23"/>
  <c r="K19" i="23"/>
  <c r="M19" i="23" s="1"/>
  <c r="L19" i="23"/>
  <c r="N19" i="23"/>
  <c r="K20" i="23"/>
  <c r="M20" i="23" s="1"/>
  <c r="L20" i="23"/>
  <c r="N20" i="23"/>
  <c r="K21" i="23"/>
  <c r="M21" i="23" s="1"/>
  <c r="L21" i="23"/>
  <c r="N21" i="23"/>
  <c r="K22" i="23"/>
  <c r="M22" i="23" s="1"/>
  <c r="L22" i="23"/>
  <c r="N22" i="23"/>
  <c r="K23" i="23"/>
  <c r="M23" i="23" s="1"/>
  <c r="L23" i="23"/>
  <c r="N23" i="23"/>
  <c r="K24" i="23"/>
  <c r="M24" i="23" s="1"/>
  <c r="L24" i="23"/>
  <c r="N24" i="23"/>
  <c r="K25" i="23"/>
  <c r="M25" i="23" s="1"/>
  <c r="L25" i="23"/>
  <c r="N25" i="23"/>
  <c r="K26" i="23"/>
  <c r="M26" i="23" s="1"/>
  <c r="L26" i="23"/>
  <c r="N26" i="23"/>
  <c r="K27" i="23"/>
  <c r="M27" i="23" s="1"/>
  <c r="L27" i="23"/>
  <c r="N27" i="23"/>
  <c r="K28" i="23"/>
  <c r="M28" i="23" s="1"/>
  <c r="L28" i="23"/>
  <c r="N28" i="23"/>
  <c r="K29" i="23"/>
  <c r="M29" i="23" s="1"/>
  <c r="L29" i="23"/>
  <c r="N29" i="23"/>
  <c r="K30" i="23"/>
  <c r="M30" i="23" s="1"/>
  <c r="L30" i="23"/>
  <c r="N30" i="23"/>
  <c r="K31" i="23"/>
  <c r="M31" i="23" s="1"/>
  <c r="L31" i="23"/>
  <c r="N31" i="23"/>
  <c r="K32" i="23"/>
  <c r="M32" i="23" s="1"/>
  <c r="L32" i="23"/>
  <c r="N32" i="23"/>
  <c r="K33" i="23"/>
  <c r="M33" i="23" s="1"/>
  <c r="L33" i="23"/>
  <c r="N33" i="23"/>
  <c r="K34" i="23"/>
  <c r="M34" i="23" s="1"/>
  <c r="L34" i="23"/>
  <c r="N34" i="23"/>
  <c r="K35" i="23"/>
  <c r="M35" i="23" s="1"/>
  <c r="L35" i="23"/>
  <c r="N35" i="23"/>
  <c r="K36" i="23"/>
  <c r="M36" i="23" s="1"/>
  <c r="L36" i="23"/>
  <c r="N36" i="23"/>
  <c r="K37" i="23"/>
  <c r="M37" i="23" s="1"/>
  <c r="L37" i="23"/>
  <c r="N37" i="23"/>
  <c r="K38" i="23"/>
  <c r="M38" i="23" s="1"/>
  <c r="L38" i="23"/>
  <c r="N38" i="23"/>
  <c r="K39" i="23"/>
  <c r="M39" i="23" s="1"/>
  <c r="L39" i="23"/>
  <c r="N39" i="23"/>
  <c r="K40" i="23"/>
  <c r="M40" i="23" s="1"/>
  <c r="L40" i="23"/>
  <c r="N40" i="23"/>
  <c r="K41" i="23"/>
  <c r="M41" i="23" s="1"/>
  <c r="L41" i="23"/>
  <c r="N41" i="23"/>
  <c r="K42" i="23"/>
  <c r="M42" i="23" s="1"/>
  <c r="L42" i="23"/>
  <c r="N42" i="23"/>
  <c r="K43" i="23"/>
  <c r="M43" i="23" s="1"/>
  <c r="L43" i="23"/>
  <c r="N43" i="23"/>
  <c r="K44" i="23"/>
  <c r="M44" i="23" s="1"/>
  <c r="L44" i="23"/>
  <c r="N44" i="23"/>
  <c r="K45" i="23"/>
  <c r="M45" i="23" s="1"/>
  <c r="L45" i="23"/>
  <c r="N45" i="23"/>
  <c r="K46" i="23"/>
  <c r="M46" i="23" s="1"/>
  <c r="L46" i="23"/>
  <c r="N46" i="23"/>
  <c r="K47" i="23"/>
  <c r="M47" i="23" s="1"/>
  <c r="L47" i="23"/>
  <c r="N47" i="23"/>
  <c r="K48" i="23"/>
  <c r="M48" i="23" s="1"/>
  <c r="L48" i="23"/>
  <c r="N48" i="23"/>
  <c r="K49" i="23"/>
  <c r="M49" i="23" s="1"/>
  <c r="L49" i="23"/>
  <c r="N49" i="23"/>
  <c r="K50" i="23"/>
  <c r="M50" i="23" s="1"/>
  <c r="L50" i="23"/>
  <c r="N50" i="23"/>
  <c r="K51" i="23"/>
  <c r="M51" i="23" s="1"/>
  <c r="L51" i="23"/>
  <c r="N51" i="23"/>
  <c r="K52" i="23"/>
  <c r="M52" i="23" s="1"/>
  <c r="L52" i="23"/>
  <c r="N52" i="23"/>
  <c r="K53" i="23"/>
  <c r="M53" i="23" s="1"/>
  <c r="L53" i="23"/>
  <c r="N53" i="23"/>
  <c r="K54" i="23"/>
  <c r="M54" i="23" s="1"/>
  <c r="L54" i="23"/>
  <c r="N54" i="23"/>
  <c r="K55" i="23"/>
  <c r="M55" i="23" s="1"/>
  <c r="L55" i="23"/>
  <c r="N55" i="23"/>
  <c r="K56" i="23"/>
  <c r="M56" i="23" s="1"/>
  <c r="L56" i="23"/>
  <c r="N56" i="23"/>
  <c r="K57" i="23"/>
  <c r="M57" i="23" s="1"/>
  <c r="L57" i="23"/>
  <c r="N57" i="23"/>
  <c r="K58" i="23"/>
  <c r="M58" i="23" s="1"/>
  <c r="L58" i="23"/>
  <c r="N58" i="23"/>
  <c r="K59" i="23"/>
  <c r="M59" i="23" s="1"/>
  <c r="L59" i="23"/>
  <c r="N59" i="23"/>
  <c r="K60" i="23"/>
  <c r="M60" i="23" s="1"/>
  <c r="L60" i="23"/>
  <c r="N60" i="23"/>
  <c r="K61" i="23"/>
  <c r="M61" i="23" s="1"/>
  <c r="L61" i="23"/>
  <c r="N61" i="23"/>
  <c r="K62" i="23"/>
  <c r="M62" i="23" s="1"/>
  <c r="L62" i="23"/>
  <c r="N62" i="23"/>
  <c r="K63" i="23"/>
  <c r="M63" i="23" s="1"/>
  <c r="L63" i="23"/>
  <c r="N63" i="23"/>
  <c r="K64" i="23"/>
  <c r="M64" i="23" s="1"/>
  <c r="L64" i="23"/>
  <c r="N64" i="23"/>
  <c r="K65" i="23"/>
  <c r="M65" i="23" s="1"/>
  <c r="L65" i="23"/>
  <c r="N65" i="23"/>
  <c r="K66" i="23"/>
  <c r="M66" i="23" s="1"/>
  <c r="L66" i="23"/>
  <c r="N66" i="23"/>
  <c r="K67" i="23"/>
  <c r="M67" i="23" s="1"/>
  <c r="L67" i="23"/>
  <c r="N67" i="23"/>
  <c r="K68" i="23"/>
  <c r="M68" i="23" s="1"/>
  <c r="L68" i="23"/>
  <c r="N68" i="23"/>
  <c r="K69" i="23"/>
  <c r="M69" i="23" s="1"/>
  <c r="L69" i="23"/>
  <c r="N69" i="23"/>
  <c r="K70" i="23"/>
  <c r="M70" i="23" s="1"/>
  <c r="L70" i="23"/>
  <c r="N70" i="23"/>
  <c r="K71" i="23"/>
  <c r="M71" i="23" s="1"/>
  <c r="L71" i="23"/>
  <c r="N71" i="23"/>
  <c r="K72" i="23"/>
  <c r="M72" i="23" s="1"/>
  <c r="L72" i="23"/>
  <c r="N72" i="23"/>
  <c r="K73" i="23"/>
  <c r="M73" i="23" s="1"/>
  <c r="L73" i="23"/>
  <c r="N73" i="23"/>
  <c r="K74" i="23"/>
  <c r="M74" i="23" s="1"/>
  <c r="L74" i="23"/>
  <c r="N74" i="23"/>
  <c r="K75" i="23"/>
  <c r="M75" i="23" s="1"/>
  <c r="L75" i="23"/>
  <c r="N75" i="23"/>
  <c r="K76" i="23"/>
  <c r="M76" i="23" s="1"/>
  <c r="L76" i="23"/>
  <c r="N76" i="23"/>
  <c r="K77" i="23"/>
  <c r="M77" i="23" s="1"/>
  <c r="L77" i="23"/>
  <c r="N77" i="23"/>
  <c r="K78" i="23"/>
  <c r="M78" i="23" s="1"/>
  <c r="L78" i="23"/>
  <c r="N78" i="23"/>
  <c r="K79" i="23"/>
  <c r="M79" i="23" s="1"/>
  <c r="L79" i="23"/>
  <c r="N79" i="23"/>
  <c r="K80" i="23"/>
  <c r="M80" i="23" s="1"/>
  <c r="L80" i="23"/>
  <c r="N80" i="23"/>
  <c r="K81" i="23"/>
  <c r="M81" i="23" s="1"/>
  <c r="L81" i="23"/>
  <c r="N81" i="23"/>
  <c r="K82" i="23"/>
  <c r="M82" i="23" s="1"/>
  <c r="L82" i="23"/>
  <c r="N82" i="23"/>
  <c r="K83" i="23"/>
  <c r="M83" i="23" s="1"/>
  <c r="L83" i="23"/>
  <c r="N83" i="23" s="1"/>
  <c r="K84" i="23"/>
  <c r="M84" i="23" s="1"/>
  <c r="L84" i="23"/>
  <c r="N84" i="23" s="1"/>
  <c r="K85" i="23"/>
  <c r="M85" i="23" s="1"/>
  <c r="L85" i="23"/>
  <c r="N85" i="23"/>
  <c r="K86" i="23"/>
  <c r="M86" i="23" s="1"/>
  <c r="L86" i="23"/>
  <c r="N86" i="23"/>
  <c r="K87" i="23"/>
  <c r="L87" i="23"/>
  <c r="M87" i="23"/>
  <c r="N87" i="23"/>
  <c r="K88" i="23"/>
  <c r="M88" i="23" s="1"/>
  <c r="L88" i="23"/>
  <c r="N88" i="23"/>
  <c r="K89" i="23"/>
  <c r="M89" i="23" s="1"/>
  <c r="L89" i="23"/>
  <c r="N89" i="23"/>
  <c r="K90" i="23"/>
  <c r="M90" i="23" s="1"/>
  <c r="L90" i="23"/>
  <c r="N90" i="23"/>
  <c r="K91" i="23"/>
  <c r="M91" i="23" s="1"/>
  <c r="L91" i="23"/>
  <c r="N91" i="23"/>
  <c r="K92" i="23"/>
  <c r="M92" i="23" s="1"/>
  <c r="L92" i="23"/>
  <c r="N92" i="23"/>
  <c r="K93" i="23"/>
  <c r="M93" i="23" s="1"/>
  <c r="L93" i="23"/>
  <c r="N93" i="23"/>
  <c r="K94" i="23"/>
  <c r="M94" i="23" s="1"/>
  <c r="L94" i="23"/>
  <c r="N94" i="23"/>
  <c r="K95" i="23"/>
  <c r="M95" i="23" s="1"/>
  <c r="L95" i="23"/>
  <c r="N95" i="23"/>
  <c r="K96" i="23"/>
  <c r="M96" i="23" s="1"/>
  <c r="L96" i="23"/>
  <c r="N96" i="23"/>
  <c r="K97" i="23"/>
  <c r="M97" i="23" s="1"/>
  <c r="L97" i="23"/>
  <c r="N97" i="23"/>
  <c r="K98" i="23"/>
  <c r="M98" i="23" s="1"/>
  <c r="L98" i="23"/>
  <c r="N98" i="23"/>
  <c r="K99" i="23"/>
  <c r="M99" i="23" s="1"/>
  <c r="L99" i="23"/>
  <c r="N99" i="23"/>
  <c r="K100" i="23"/>
  <c r="M100" i="23" s="1"/>
  <c r="L100" i="23"/>
  <c r="N100" i="23"/>
  <c r="K101" i="23"/>
  <c r="M101" i="23" s="1"/>
  <c r="L101" i="23"/>
  <c r="N101" i="23"/>
  <c r="K102" i="23"/>
  <c r="M102" i="23" s="1"/>
  <c r="L102" i="23"/>
  <c r="N102" i="23"/>
  <c r="K103" i="23"/>
  <c r="M103" i="23" s="1"/>
  <c r="L103" i="23"/>
  <c r="N103" i="23"/>
  <c r="K104" i="23"/>
  <c r="M104" i="23" s="1"/>
  <c r="L104" i="23"/>
  <c r="N104" i="23"/>
  <c r="K105" i="23"/>
  <c r="M105" i="23" s="1"/>
  <c r="L105" i="23"/>
  <c r="N105" i="23"/>
  <c r="K106" i="23"/>
  <c r="M106" i="23" s="1"/>
  <c r="L106" i="23"/>
  <c r="N106" i="23"/>
  <c r="K107" i="23"/>
  <c r="M107" i="23" s="1"/>
  <c r="L107" i="23"/>
  <c r="N107" i="23"/>
  <c r="K108" i="23"/>
  <c r="M108" i="23" s="1"/>
  <c r="L108" i="23"/>
  <c r="N108" i="23"/>
  <c r="K109" i="23"/>
  <c r="M109" i="23" s="1"/>
  <c r="L109" i="23"/>
  <c r="N109" i="23"/>
  <c r="K110" i="23"/>
  <c r="M110" i="23" s="1"/>
  <c r="L110" i="23"/>
  <c r="N110" i="23"/>
  <c r="K111" i="23"/>
  <c r="M111" i="23" s="1"/>
  <c r="L111" i="23"/>
  <c r="N111" i="23"/>
  <c r="K112" i="23"/>
  <c r="M112" i="23" s="1"/>
  <c r="L112" i="23"/>
  <c r="N112" i="23"/>
  <c r="K113" i="23"/>
  <c r="M113" i="23" s="1"/>
  <c r="L113" i="23"/>
  <c r="N113" i="23"/>
  <c r="K114" i="23"/>
  <c r="M114" i="23" s="1"/>
  <c r="L114" i="23"/>
  <c r="N114" i="23"/>
  <c r="K115" i="23"/>
  <c r="M115" i="23" s="1"/>
  <c r="L115" i="23"/>
  <c r="N115" i="23"/>
  <c r="K116" i="23"/>
  <c r="M116" i="23" s="1"/>
  <c r="L116" i="23"/>
  <c r="N116" i="23"/>
  <c r="K117" i="23"/>
  <c r="M117" i="23" s="1"/>
  <c r="L117" i="23"/>
  <c r="N117" i="23"/>
  <c r="K118" i="23"/>
  <c r="M118" i="23" s="1"/>
  <c r="L118" i="23"/>
  <c r="N118" i="23"/>
  <c r="K119" i="23"/>
  <c r="M119" i="23" s="1"/>
  <c r="L119" i="23"/>
  <c r="N119" i="23" s="1"/>
  <c r="K120" i="23"/>
  <c r="M120" i="23" s="1"/>
  <c r="L120" i="23"/>
  <c r="N120" i="23"/>
  <c r="K121" i="23"/>
  <c r="M121" i="23" s="1"/>
  <c r="L121" i="23"/>
  <c r="N121" i="23"/>
  <c r="K122" i="23"/>
  <c r="M122" i="23" s="1"/>
  <c r="L122" i="23"/>
  <c r="N122" i="23"/>
  <c r="K123" i="23"/>
  <c r="M123" i="23" s="1"/>
  <c r="L123" i="23"/>
  <c r="N123" i="23" s="1"/>
  <c r="K124" i="23"/>
  <c r="M124" i="23" s="1"/>
  <c r="L124" i="23"/>
  <c r="N124" i="23"/>
  <c r="K125" i="23"/>
  <c r="M125" i="23" s="1"/>
  <c r="L125" i="23"/>
  <c r="N125" i="23"/>
  <c r="K126" i="23"/>
  <c r="M126" i="23" s="1"/>
  <c r="L126" i="23"/>
  <c r="N126" i="23"/>
  <c r="K127" i="23"/>
  <c r="M127" i="23" s="1"/>
  <c r="L127" i="23"/>
  <c r="N127" i="23" s="1"/>
  <c r="K128" i="23"/>
  <c r="M128" i="23" s="1"/>
  <c r="L128" i="23"/>
  <c r="N128" i="23"/>
  <c r="K129" i="23"/>
  <c r="M129" i="23" s="1"/>
  <c r="L129" i="23"/>
  <c r="N129" i="23"/>
  <c r="K130" i="23"/>
  <c r="M130" i="23" s="1"/>
  <c r="L130" i="23"/>
  <c r="N130" i="23"/>
  <c r="K131" i="23"/>
  <c r="M131" i="23" s="1"/>
  <c r="L131" i="23"/>
  <c r="N131" i="23" s="1"/>
  <c r="K132" i="23"/>
  <c r="M132" i="23" s="1"/>
  <c r="L132" i="23"/>
  <c r="N132" i="23"/>
  <c r="K133" i="23"/>
  <c r="M133" i="23" s="1"/>
  <c r="L133" i="23"/>
  <c r="N133" i="23"/>
  <c r="K134" i="23"/>
  <c r="M134" i="23" s="1"/>
  <c r="L134" i="23"/>
  <c r="N134" i="23"/>
  <c r="K135" i="23"/>
  <c r="M135" i="23" s="1"/>
  <c r="L135" i="23"/>
  <c r="N135" i="23" s="1"/>
  <c r="K136" i="23"/>
  <c r="M136" i="23" s="1"/>
  <c r="L136" i="23"/>
  <c r="N136" i="23"/>
  <c r="K137" i="23"/>
  <c r="M137" i="23" s="1"/>
  <c r="L137" i="23"/>
  <c r="N137" i="23"/>
  <c r="K138" i="23"/>
  <c r="M138" i="23" s="1"/>
  <c r="L138" i="23"/>
  <c r="N138" i="23"/>
  <c r="K139" i="23"/>
  <c r="M139" i="23" s="1"/>
  <c r="L139" i="23"/>
  <c r="N139" i="23" s="1"/>
  <c r="K140" i="23"/>
  <c r="M140" i="23" s="1"/>
  <c r="L140" i="23"/>
  <c r="N140" i="23"/>
  <c r="K141" i="23"/>
  <c r="M141" i="23" s="1"/>
  <c r="L141" i="23"/>
  <c r="N141" i="23"/>
  <c r="K142" i="23"/>
  <c r="M142" i="23" s="1"/>
  <c r="L142" i="23"/>
  <c r="N142" i="23"/>
  <c r="K143" i="23"/>
  <c r="M143" i="23" s="1"/>
  <c r="L143" i="23"/>
  <c r="N143" i="23" s="1"/>
  <c r="K144" i="23"/>
  <c r="M144" i="23" s="1"/>
  <c r="L144" i="23"/>
  <c r="N144" i="23"/>
  <c r="K145" i="23"/>
  <c r="M145" i="23" s="1"/>
  <c r="L145" i="23"/>
  <c r="N145" i="23"/>
  <c r="K146" i="23"/>
  <c r="M146" i="23" s="1"/>
  <c r="L146" i="23"/>
  <c r="N146" i="23"/>
  <c r="K147" i="23"/>
  <c r="M147" i="23" s="1"/>
  <c r="L147" i="23"/>
  <c r="N147" i="23" s="1"/>
  <c r="K148" i="23"/>
  <c r="M148" i="23" s="1"/>
  <c r="L148" i="23"/>
  <c r="N148" i="23"/>
  <c r="K149" i="23"/>
  <c r="M149" i="23" s="1"/>
  <c r="L149" i="23"/>
  <c r="N149" i="23"/>
  <c r="K150" i="23"/>
  <c r="M150" i="23" s="1"/>
  <c r="L150" i="23"/>
  <c r="N150" i="23"/>
  <c r="K151" i="23"/>
  <c r="M151" i="23" s="1"/>
  <c r="L151" i="23"/>
  <c r="N151" i="23" s="1"/>
  <c r="K152" i="23"/>
  <c r="M152" i="23" s="1"/>
  <c r="L152" i="23"/>
  <c r="N152" i="23"/>
  <c r="K153" i="23"/>
  <c r="M153" i="23" s="1"/>
  <c r="L153" i="23"/>
  <c r="N153" i="23"/>
  <c r="K154" i="23"/>
  <c r="M154" i="23" s="1"/>
  <c r="L154" i="23"/>
  <c r="N154" i="23"/>
  <c r="K155" i="23"/>
  <c r="M155" i="23" s="1"/>
  <c r="L155" i="23"/>
  <c r="N155" i="23" s="1"/>
  <c r="K156" i="23"/>
  <c r="M156" i="23" s="1"/>
  <c r="L156" i="23"/>
  <c r="N156" i="23"/>
  <c r="K157" i="23"/>
  <c r="M157" i="23" s="1"/>
  <c r="L157" i="23"/>
  <c r="N157" i="23"/>
  <c r="K158" i="23"/>
  <c r="M158" i="23" s="1"/>
  <c r="L158" i="23"/>
  <c r="N158" i="23"/>
  <c r="K159" i="23"/>
  <c r="M159" i="23" s="1"/>
  <c r="L159" i="23"/>
  <c r="N159" i="23" s="1"/>
  <c r="K160" i="23"/>
  <c r="M160" i="23" s="1"/>
  <c r="L160" i="23"/>
  <c r="N160" i="23"/>
  <c r="K161" i="23"/>
  <c r="M161" i="23" s="1"/>
  <c r="L161" i="23"/>
  <c r="N161" i="23"/>
  <c r="K162" i="23"/>
  <c r="M162" i="23" s="1"/>
  <c r="L162" i="23"/>
  <c r="N162" i="23"/>
  <c r="K163" i="23"/>
  <c r="M163" i="23" s="1"/>
  <c r="L163" i="23"/>
  <c r="N163" i="23" s="1"/>
  <c r="K164" i="23"/>
  <c r="M164" i="23" s="1"/>
  <c r="L164" i="23"/>
  <c r="N164" i="23"/>
  <c r="K165" i="23"/>
  <c r="M165" i="23" s="1"/>
  <c r="L165" i="23"/>
  <c r="N165" i="23"/>
  <c r="K166" i="23"/>
  <c r="M166" i="23" s="1"/>
  <c r="L166" i="23"/>
  <c r="N166" i="23"/>
  <c r="K167" i="23"/>
  <c r="M167" i="23" s="1"/>
  <c r="L167" i="23"/>
  <c r="N167" i="23" s="1"/>
  <c r="K168" i="23"/>
  <c r="M168" i="23" s="1"/>
  <c r="L168" i="23"/>
  <c r="N168" i="23"/>
  <c r="K169" i="23"/>
  <c r="M169" i="23" s="1"/>
  <c r="L169" i="23"/>
  <c r="N169" i="23"/>
  <c r="K170" i="23"/>
  <c r="M170" i="23" s="1"/>
  <c r="L170" i="23"/>
  <c r="N170" i="23"/>
  <c r="K171" i="23"/>
  <c r="M171" i="23" s="1"/>
  <c r="L171" i="23"/>
  <c r="N171" i="23" s="1"/>
  <c r="K172" i="23"/>
  <c r="L172" i="23"/>
  <c r="N172" i="23" s="1"/>
  <c r="M172" i="23"/>
  <c r="K173" i="23"/>
  <c r="L173" i="23"/>
  <c r="N173" i="23" s="1"/>
  <c r="M173" i="23"/>
  <c r="K174" i="23"/>
  <c r="L174" i="23"/>
  <c r="N174" i="23" s="1"/>
  <c r="M174" i="23"/>
  <c r="K175" i="23"/>
  <c r="L175" i="23"/>
  <c r="N175" i="23" s="1"/>
  <c r="M175" i="23"/>
  <c r="K176" i="23"/>
  <c r="L176" i="23"/>
  <c r="N176" i="23" s="1"/>
  <c r="M176" i="23"/>
  <c r="K177" i="23"/>
  <c r="L177" i="23"/>
  <c r="N177" i="23" s="1"/>
  <c r="M177" i="23"/>
  <c r="K178" i="23"/>
  <c r="L178" i="23"/>
  <c r="N178" i="23" s="1"/>
  <c r="M178" i="23"/>
  <c r="K179" i="23"/>
  <c r="L179" i="23"/>
  <c r="N179" i="23" s="1"/>
  <c r="M179" i="23"/>
  <c r="K180" i="23"/>
  <c r="L180" i="23"/>
  <c r="N180" i="23" s="1"/>
  <c r="M180" i="23"/>
  <c r="K181" i="23"/>
  <c r="L181" i="23"/>
  <c r="N181" i="23" s="1"/>
  <c r="M181" i="23"/>
  <c r="K182" i="23"/>
  <c r="L182" i="23"/>
  <c r="N182" i="23" s="1"/>
  <c r="M182" i="23"/>
  <c r="K183" i="23"/>
  <c r="L183" i="23"/>
  <c r="N183" i="23" s="1"/>
  <c r="M183" i="23"/>
  <c r="K184" i="23"/>
  <c r="L184" i="23"/>
  <c r="N184" i="23" s="1"/>
  <c r="M184" i="23"/>
  <c r="K185" i="23"/>
  <c r="L185" i="23"/>
  <c r="N185" i="23" s="1"/>
  <c r="M185" i="23"/>
  <c r="K186" i="23"/>
  <c r="L186" i="23"/>
  <c r="N186" i="23" s="1"/>
  <c r="M186" i="23"/>
  <c r="K187" i="23"/>
  <c r="L187" i="23"/>
  <c r="N187" i="23" s="1"/>
  <c r="M187" i="23"/>
  <c r="K188" i="23"/>
  <c r="L188" i="23"/>
  <c r="N188" i="23" s="1"/>
  <c r="M188" i="23"/>
  <c r="K189" i="23"/>
  <c r="L189" i="23"/>
  <c r="N189" i="23" s="1"/>
  <c r="M189" i="23"/>
  <c r="K190" i="23"/>
  <c r="L190" i="23"/>
  <c r="N190" i="23" s="1"/>
  <c r="M190" i="23"/>
  <c r="K191" i="23"/>
  <c r="L191" i="23"/>
  <c r="N191" i="23" s="1"/>
  <c r="M191" i="23"/>
  <c r="K192" i="23"/>
  <c r="L192" i="23"/>
  <c r="N192" i="23" s="1"/>
  <c r="M192" i="23"/>
  <c r="K193" i="23"/>
  <c r="L193" i="23"/>
  <c r="N193" i="23" s="1"/>
  <c r="M193" i="23"/>
  <c r="K194" i="23"/>
  <c r="L194" i="23"/>
  <c r="N194" i="23" s="1"/>
  <c r="M194" i="23"/>
  <c r="K195" i="23"/>
  <c r="L195" i="23"/>
  <c r="N195" i="23" s="1"/>
  <c r="M195" i="23"/>
  <c r="K196" i="23"/>
  <c r="L196" i="23"/>
  <c r="N196" i="23" s="1"/>
  <c r="M196" i="23"/>
  <c r="K197" i="23"/>
  <c r="L197" i="23"/>
  <c r="N197" i="23" s="1"/>
  <c r="M197" i="23"/>
  <c r="K198" i="23"/>
  <c r="L198" i="23"/>
  <c r="N198" i="23" s="1"/>
  <c r="M198" i="23"/>
  <c r="K199" i="23"/>
  <c r="L199" i="23"/>
  <c r="N199" i="23" s="1"/>
  <c r="M199" i="23"/>
  <c r="K200" i="23"/>
  <c r="L200" i="23"/>
  <c r="N200" i="23" s="1"/>
  <c r="M200" i="23"/>
  <c r="K201" i="23"/>
  <c r="L201" i="23"/>
  <c r="N201" i="23" s="1"/>
  <c r="M201" i="23"/>
  <c r="K202" i="23"/>
  <c r="L202" i="23"/>
  <c r="N202" i="23" s="1"/>
  <c r="M202" i="23"/>
  <c r="K203" i="23"/>
  <c r="L203" i="23"/>
  <c r="N203" i="23" s="1"/>
  <c r="M203" i="23"/>
  <c r="K204" i="23"/>
  <c r="L204" i="23"/>
  <c r="N204" i="23" s="1"/>
  <c r="M204" i="23"/>
  <c r="K205" i="23"/>
  <c r="L205" i="23"/>
  <c r="N205" i="23" s="1"/>
  <c r="M205" i="23"/>
  <c r="K206" i="23"/>
  <c r="L206" i="23"/>
  <c r="N206" i="23" s="1"/>
  <c r="M206" i="23"/>
  <c r="K207" i="23"/>
  <c r="L207" i="23"/>
  <c r="N207" i="23" s="1"/>
  <c r="M207" i="23"/>
  <c r="K208" i="23"/>
  <c r="L208" i="23"/>
  <c r="N208" i="23" s="1"/>
  <c r="M208" i="23"/>
  <c r="K209" i="23"/>
  <c r="L209" i="23"/>
  <c r="N209" i="23" s="1"/>
  <c r="M209" i="23"/>
  <c r="K210" i="23"/>
  <c r="L210" i="23"/>
  <c r="N210" i="23" s="1"/>
  <c r="M210" i="23"/>
  <c r="K211" i="23"/>
  <c r="L211" i="23"/>
  <c r="N211" i="23" s="1"/>
  <c r="M211" i="23"/>
  <c r="K212" i="23"/>
  <c r="L212" i="23"/>
  <c r="N212" i="23" s="1"/>
  <c r="M212" i="23"/>
  <c r="K213" i="23"/>
  <c r="L213" i="23"/>
  <c r="N213" i="23" s="1"/>
  <c r="M213" i="23"/>
  <c r="K214" i="23"/>
  <c r="L214" i="23"/>
  <c r="N214" i="23" s="1"/>
  <c r="M214" i="23"/>
  <c r="K215" i="23"/>
  <c r="L215" i="23"/>
  <c r="N215" i="23" s="1"/>
  <c r="M215" i="23"/>
  <c r="K216" i="23"/>
  <c r="L216" i="23"/>
  <c r="N216" i="23" s="1"/>
  <c r="M216" i="23"/>
  <c r="K217" i="23"/>
  <c r="L217" i="23"/>
  <c r="N217" i="23" s="1"/>
  <c r="M217" i="23"/>
  <c r="K218" i="23"/>
  <c r="L218" i="23"/>
  <c r="N218" i="23" s="1"/>
  <c r="M218" i="23"/>
  <c r="I221" i="23"/>
  <c r="J223" i="23" a="1"/>
  <c r="J223" i="23" s="1"/>
  <c r="J222" i="2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325D56-30FA-47BD-8D7D-7E29768AF35D}" keepAlive="1" name="Query - Global Inflation Cost of Living" description="Connection to the 'Global Inflation Cost of Living' query in the workbook." type="5" refreshedVersion="8" background="1" saveData="1">
    <dbPr connection="Provider=Microsoft.Mashup.OleDb.1;Data Source=$Workbook$;Location=&quot;Global Inflation Cost of Living&quot;;Extended Properties=&quot;&quot;" command="SELECT * FROM [Global Inflation Cost of Living]"/>
  </connection>
  <connection id="2" xr16:uid="{D09C57D3-C847-4176-8500-85DC702BC803}" keepAlive="1" name="Query - Global_Inflation_Cost_of_Living" description="Connection to the 'Global_Inflation_Cost_of_Living' query in the workbook." type="5" refreshedVersion="8" background="1" saveData="1">
    <dbPr connection="Provider=Microsoft.Mashup.OleDb.1;Data Source=$Workbook$;Location=Global_Inflation_Cost_of_Living;Extended Properties=&quot;&quot;" command="SELECT * FROM [Global_Inflation_Cost_of_Livin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<sst xmlns="http://schemas.openxmlformats.org/spreadsheetml/2006/main" count="4889" uniqueCount="1218">
  <si>
    <t>inflation_annual_pct</t>
  </si>
  <si>
    <t>Aruba</t>
  </si>
  <si>
    <t xml:space="preserve">Latin America &amp; Caribbean </t>
  </si>
  <si>
    <t>High income</t>
  </si>
  <si>
    <t>Oranjestad</t>
  </si>
  <si>
    <t>12.5167</t>
  </si>
  <si>
    <t>-70.0167</t>
  </si>
  <si>
    <t>Afghanistan</t>
  </si>
  <si>
    <t>Middle East, North Africa, Afghanistan &amp; Pakistan</t>
  </si>
  <si>
    <t>Low income</t>
  </si>
  <si>
    <t>Kabul</t>
  </si>
  <si>
    <t>34.5228</t>
  </si>
  <si>
    <t>69.1761</t>
  </si>
  <si>
    <t>AFG</t>
  </si>
  <si>
    <t>Angola</t>
  </si>
  <si>
    <t xml:space="preserve">Sub-Saharan Africa </t>
  </si>
  <si>
    <t>Lower middle income</t>
  </si>
  <si>
    <t>Luanda</t>
  </si>
  <si>
    <t>-8.81155</t>
  </si>
  <si>
    <t>13.242</t>
  </si>
  <si>
    <t>AGO</t>
  </si>
  <si>
    <t>Albania</t>
  </si>
  <si>
    <t>Europe &amp; Central Asia</t>
  </si>
  <si>
    <t>Upper middle income</t>
  </si>
  <si>
    <t>Tirane</t>
  </si>
  <si>
    <t>41.3317</t>
  </si>
  <si>
    <t>19.8172</t>
  </si>
  <si>
    <t>ALB</t>
  </si>
  <si>
    <t>Andorra</t>
  </si>
  <si>
    <t>Andorra la Vella</t>
  </si>
  <si>
    <t>42.5075</t>
  </si>
  <si>
    <t>1.5218</t>
  </si>
  <si>
    <t>United Arab Emirates</t>
  </si>
  <si>
    <t>Abu Dhabi</t>
  </si>
  <si>
    <t>24.4764</t>
  </si>
  <si>
    <t>54.3705</t>
  </si>
  <si>
    <t>ARE</t>
  </si>
  <si>
    <t>Argentina</t>
  </si>
  <si>
    <t>Buenos Aires</t>
  </si>
  <si>
    <t>-34.6118</t>
  </si>
  <si>
    <t>-58.4173</t>
  </si>
  <si>
    <t>ARG</t>
  </si>
  <si>
    <t>Armenia</t>
  </si>
  <si>
    <t>Yerevan</t>
  </si>
  <si>
    <t>40.1596</t>
  </si>
  <si>
    <t>44.509</t>
  </si>
  <si>
    <t>ARM</t>
  </si>
  <si>
    <t>American Samoa</t>
  </si>
  <si>
    <t>East Asia &amp; Pacific</t>
  </si>
  <si>
    <t>Pago Pago</t>
  </si>
  <si>
    <t>-14.2846</t>
  </si>
  <si>
    <t>-170.691</t>
  </si>
  <si>
    <t>Antigua and Barbuda</t>
  </si>
  <si>
    <t>Saint John's</t>
  </si>
  <si>
    <t>17.1175</t>
  </si>
  <si>
    <t>-61.8456</t>
  </si>
  <si>
    <t>ATG</t>
  </si>
  <si>
    <t>Australia</t>
  </si>
  <si>
    <t>Canberra</t>
  </si>
  <si>
    <t>-35.282</t>
  </si>
  <si>
    <t>149.129</t>
  </si>
  <si>
    <t>AUS</t>
  </si>
  <si>
    <t>Austria</t>
  </si>
  <si>
    <t>Vienna</t>
  </si>
  <si>
    <t>48.2201</t>
  </si>
  <si>
    <t>16.3798</t>
  </si>
  <si>
    <t>AUT</t>
  </si>
  <si>
    <t>Azerbaijan</t>
  </si>
  <si>
    <t>Baku</t>
  </si>
  <si>
    <t>40.3834</t>
  </si>
  <si>
    <t>49.8932</t>
  </si>
  <si>
    <t>AZE</t>
  </si>
  <si>
    <t>Burundi</t>
  </si>
  <si>
    <t>Bujumbura</t>
  </si>
  <si>
    <t>-3.3784</t>
  </si>
  <si>
    <t>29.3639</t>
  </si>
  <si>
    <t>BDI</t>
  </si>
  <si>
    <t>Belgium</t>
  </si>
  <si>
    <t>Brussels</t>
  </si>
  <si>
    <t>50.8371</t>
  </si>
  <si>
    <t>4.36761</t>
  </si>
  <si>
    <t>BEL</t>
  </si>
  <si>
    <t>Benin</t>
  </si>
  <si>
    <t>Porto-Novo</t>
  </si>
  <si>
    <t>6.4779</t>
  </si>
  <si>
    <t>2.6323</t>
  </si>
  <si>
    <t>BEN</t>
  </si>
  <si>
    <t>Burkina Faso</t>
  </si>
  <si>
    <t>Ouagadougou</t>
  </si>
  <si>
    <t>12.3605</t>
  </si>
  <si>
    <t>-1.53395</t>
  </si>
  <si>
    <t>BFA</t>
  </si>
  <si>
    <t>Bangladesh</t>
  </si>
  <si>
    <t>South Asia</t>
  </si>
  <si>
    <t>Dhaka</t>
  </si>
  <si>
    <t>23.7055</t>
  </si>
  <si>
    <t>90.4113</t>
  </si>
  <si>
    <t>BGD</t>
  </si>
  <si>
    <t>Bulgaria</t>
  </si>
  <si>
    <t>Sofia</t>
  </si>
  <si>
    <t>42.7105</t>
  </si>
  <si>
    <t>23.3238</t>
  </si>
  <si>
    <t>BGR</t>
  </si>
  <si>
    <t>Bahrain</t>
  </si>
  <si>
    <t>Manama</t>
  </si>
  <si>
    <t>26.1921</t>
  </si>
  <si>
    <t>50.5354</t>
  </si>
  <si>
    <t>BHR</t>
  </si>
  <si>
    <t>Bahamas, The</t>
  </si>
  <si>
    <t>Nassau</t>
  </si>
  <si>
    <t>25.0661</t>
  </si>
  <si>
    <t>-77.339</t>
  </si>
  <si>
    <t>BHS</t>
  </si>
  <si>
    <t>Bosnia and Herzegovina</t>
  </si>
  <si>
    <t>Sarajevo</t>
  </si>
  <si>
    <t>43.8607</t>
  </si>
  <si>
    <t>18.4214</t>
  </si>
  <si>
    <t>BIH</t>
  </si>
  <si>
    <t>Belarus</t>
  </si>
  <si>
    <t>Minsk</t>
  </si>
  <si>
    <t>53.9678</t>
  </si>
  <si>
    <t>27.5766</t>
  </si>
  <si>
    <t>BLR</t>
  </si>
  <si>
    <t>Belize</t>
  </si>
  <si>
    <t>Belmopan</t>
  </si>
  <si>
    <t>17.2534</t>
  </si>
  <si>
    <t>-88.7713</t>
  </si>
  <si>
    <t>BLZ</t>
  </si>
  <si>
    <t>Bermuda</t>
  </si>
  <si>
    <t>North America</t>
  </si>
  <si>
    <t>Hamilton</t>
  </si>
  <si>
    <t>32.3293</t>
  </si>
  <si>
    <t>-64.706</t>
  </si>
  <si>
    <t>Bolivia</t>
  </si>
  <si>
    <t>La Paz</t>
  </si>
  <si>
    <t>-13.9908</t>
  </si>
  <si>
    <t>-66.1936</t>
  </si>
  <si>
    <t>BOL</t>
  </si>
  <si>
    <t>Brazil</t>
  </si>
  <si>
    <t>Brasilia</t>
  </si>
  <si>
    <t>-15.7801</t>
  </si>
  <si>
    <t>-47.9292</t>
  </si>
  <si>
    <t>BRA</t>
  </si>
  <si>
    <t>Barbados</t>
  </si>
  <si>
    <t>Bridgetown</t>
  </si>
  <si>
    <t>13.0935</t>
  </si>
  <si>
    <t>-59.6105</t>
  </si>
  <si>
    <t>BRB</t>
  </si>
  <si>
    <t>Brunei Darussalam</t>
  </si>
  <si>
    <t>Bandar Seri Begawan</t>
  </si>
  <si>
    <t>4.94199</t>
  </si>
  <si>
    <t>114.946</t>
  </si>
  <si>
    <t>BRN</t>
  </si>
  <si>
    <t>Bhutan</t>
  </si>
  <si>
    <t>Thimphu</t>
  </si>
  <si>
    <t>27.5768</t>
  </si>
  <si>
    <t>89.6177</t>
  </si>
  <si>
    <t>BTN</t>
  </si>
  <si>
    <t>Botswana</t>
  </si>
  <si>
    <t>Gaborone</t>
  </si>
  <si>
    <t>-24.6544</t>
  </si>
  <si>
    <t>25.9201</t>
  </si>
  <si>
    <t>BWA</t>
  </si>
  <si>
    <t>Central African Republic</t>
  </si>
  <si>
    <t>Bangui</t>
  </si>
  <si>
    <t>5.63056</t>
  </si>
  <si>
    <t>21.6407</t>
  </si>
  <si>
    <t>CAF</t>
  </si>
  <si>
    <t>Canada</t>
  </si>
  <si>
    <t>Ottawa</t>
  </si>
  <si>
    <t>45.4215</t>
  </si>
  <si>
    <t>-75.6919</t>
  </si>
  <si>
    <t>CAN</t>
  </si>
  <si>
    <t>Switzerland</t>
  </si>
  <si>
    <t>Bern</t>
  </si>
  <si>
    <t>46.948</t>
  </si>
  <si>
    <t>7.44821</t>
  </si>
  <si>
    <t>CHE</t>
  </si>
  <si>
    <t>Channel Islands</t>
  </si>
  <si>
    <t>Chile</t>
  </si>
  <si>
    <t>Santiago</t>
  </si>
  <si>
    <t>-33.475</t>
  </si>
  <si>
    <t>-70.6475</t>
  </si>
  <si>
    <t>CHL</t>
  </si>
  <si>
    <t>China</t>
  </si>
  <si>
    <t>Beijing</t>
  </si>
  <si>
    <t>40.0495</t>
  </si>
  <si>
    <t>116.286</t>
  </si>
  <si>
    <t>CHN</t>
  </si>
  <si>
    <t>Cote d'Ivoire</t>
  </si>
  <si>
    <t>Yamoussoukro</t>
  </si>
  <si>
    <t>5.332</t>
  </si>
  <si>
    <t>-4.0305</t>
  </si>
  <si>
    <t>CIV</t>
  </si>
  <si>
    <t>Cameroon</t>
  </si>
  <si>
    <t>Yaounde</t>
  </si>
  <si>
    <t>3.8721</t>
  </si>
  <si>
    <t>11.5174</t>
  </si>
  <si>
    <t>CMR</t>
  </si>
  <si>
    <t>Congo, Dem. Rep.</t>
  </si>
  <si>
    <t>Kinshasa</t>
  </si>
  <si>
    <t>-4.325</t>
  </si>
  <si>
    <t>15.3222</t>
  </si>
  <si>
    <t>Congo, Rep.</t>
  </si>
  <si>
    <t>Brazzaville</t>
  </si>
  <si>
    <t>-4.2767</t>
  </si>
  <si>
    <t>15.2662</t>
  </si>
  <si>
    <t>COG</t>
  </si>
  <si>
    <t>Colombia</t>
  </si>
  <si>
    <t>Bogota</t>
  </si>
  <si>
    <t>4.60987</t>
  </si>
  <si>
    <t>-74.082</t>
  </si>
  <si>
    <t>COL</t>
  </si>
  <si>
    <t>Comoros</t>
  </si>
  <si>
    <t>Moroni</t>
  </si>
  <si>
    <t>-11.6986</t>
  </si>
  <si>
    <t>43.2418</t>
  </si>
  <si>
    <t>COM</t>
  </si>
  <si>
    <t>Cabo Verde</t>
  </si>
  <si>
    <t>Praia</t>
  </si>
  <si>
    <t>14.9218</t>
  </si>
  <si>
    <t>-23.5087</t>
  </si>
  <si>
    <t>CPV</t>
  </si>
  <si>
    <t>Costa Rica</t>
  </si>
  <si>
    <t>San Jose</t>
  </si>
  <si>
    <t>9.63701</t>
  </si>
  <si>
    <t>-84.0089</t>
  </si>
  <si>
    <t>CRI</t>
  </si>
  <si>
    <t>Cuba</t>
  </si>
  <si>
    <t>Havana</t>
  </si>
  <si>
    <t>23.1333</t>
  </si>
  <si>
    <t>-82.3667</t>
  </si>
  <si>
    <t>Curacao</t>
  </si>
  <si>
    <t>Willemstad</t>
  </si>
  <si>
    <t>Cayman Islands</t>
  </si>
  <si>
    <t>George Town</t>
  </si>
  <si>
    <t>19.3022</t>
  </si>
  <si>
    <t>-81.3857</t>
  </si>
  <si>
    <t>Cyprus</t>
  </si>
  <si>
    <t>Nicosia</t>
  </si>
  <si>
    <t>35.1676</t>
  </si>
  <si>
    <t>33.3736</t>
  </si>
  <si>
    <t>CYP</t>
  </si>
  <si>
    <t>Czechia</t>
  </si>
  <si>
    <t>Prague</t>
  </si>
  <si>
    <t>50.0878</t>
  </si>
  <si>
    <t>14.4205</t>
  </si>
  <si>
    <t>CZE</t>
  </si>
  <si>
    <t>Germany</t>
  </si>
  <si>
    <t>Berlin</t>
  </si>
  <si>
    <t>52.5235</t>
  </si>
  <si>
    <t>13.4115</t>
  </si>
  <si>
    <t>DEU</t>
  </si>
  <si>
    <t>Djibouti</t>
  </si>
  <si>
    <t>11.5806</t>
  </si>
  <si>
    <t>43.1425</t>
  </si>
  <si>
    <t>DJI</t>
  </si>
  <si>
    <t>Dominica</t>
  </si>
  <si>
    <t>Roseau</t>
  </si>
  <si>
    <t>15.2976</t>
  </si>
  <si>
    <t>-61.39</t>
  </si>
  <si>
    <t>DMA</t>
  </si>
  <si>
    <t>Denmark</t>
  </si>
  <si>
    <t>Copenhagen</t>
  </si>
  <si>
    <t>55.6763</t>
  </si>
  <si>
    <t>12.5681</t>
  </si>
  <si>
    <t>DNK</t>
  </si>
  <si>
    <t>Dominican Republic</t>
  </si>
  <si>
    <t>Santo Domingo</t>
  </si>
  <si>
    <t>18.479</t>
  </si>
  <si>
    <t>-69.8908</t>
  </si>
  <si>
    <t>DOM</t>
  </si>
  <si>
    <t>Algeria</t>
  </si>
  <si>
    <t>Algiers</t>
  </si>
  <si>
    <t>36.7397</t>
  </si>
  <si>
    <t>3.05097</t>
  </si>
  <si>
    <t>DZA</t>
  </si>
  <si>
    <t>Ecuador</t>
  </si>
  <si>
    <t>Quito</t>
  </si>
  <si>
    <t>-0.229498</t>
  </si>
  <si>
    <t>-78.5243</t>
  </si>
  <si>
    <t>ECU</t>
  </si>
  <si>
    <t>Egypt, Arab Rep.</t>
  </si>
  <si>
    <t>Cairo</t>
  </si>
  <si>
    <t>30.0982</t>
  </si>
  <si>
    <t>31.2461</t>
  </si>
  <si>
    <t>EGY</t>
  </si>
  <si>
    <t>Eritrea</t>
  </si>
  <si>
    <t>Asmara</t>
  </si>
  <si>
    <t>15.3315</t>
  </si>
  <si>
    <t>38.9183</t>
  </si>
  <si>
    <t>Spain</t>
  </si>
  <si>
    <t>Madrid</t>
  </si>
  <si>
    <t>40.4167</t>
  </si>
  <si>
    <t>-3.70327</t>
  </si>
  <si>
    <t>ESP</t>
  </si>
  <si>
    <t>Estonia</t>
  </si>
  <si>
    <t>Tallinn</t>
  </si>
  <si>
    <t>59.4392</t>
  </si>
  <si>
    <t>24.7586</t>
  </si>
  <si>
    <t>EST</t>
  </si>
  <si>
    <t>Ethiopia</t>
  </si>
  <si>
    <t>Addis Ababa</t>
  </si>
  <si>
    <t>9.02274</t>
  </si>
  <si>
    <t>38.7468</t>
  </si>
  <si>
    <t>ETH</t>
  </si>
  <si>
    <t>Finland</t>
  </si>
  <si>
    <t>Helsinki</t>
  </si>
  <si>
    <t>60.1608</t>
  </si>
  <si>
    <t>24.9525</t>
  </si>
  <si>
    <t>FIN</t>
  </si>
  <si>
    <t>Fiji</t>
  </si>
  <si>
    <t>Suva</t>
  </si>
  <si>
    <t>-18.1149</t>
  </si>
  <si>
    <t>178.399</t>
  </si>
  <si>
    <t>FJI</t>
  </si>
  <si>
    <t>France</t>
  </si>
  <si>
    <t>Paris</t>
  </si>
  <si>
    <t>48.8566</t>
  </si>
  <si>
    <t>2.35097</t>
  </si>
  <si>
    <t>FRA</t>
  </si>
  <si>
    <t>Faroe Islands</t>
  </si>
  <si>
    <t>Torshavn</t>
  </si>
  <si>
    <t>61.8926</t>
  </si>
  <si>
    <t>-6.91181</t>
  </si>
  <si>
    <t>Micronesia, Fed. Sts.</t>
  </si>
  <si>
    <t>Palikir</t>
  </si>
  <si>
    <t>6.91771</t>
  </si>
  <si>
    <t>158.185</t>
  </si>
  <si>
    <t>FSM</t>
  </si>
  <si>
    <t>Gabon</t>
  </si>
  <si>
    <t>Libreville</t>
  </si>
  <si>
    <t>0.38832</t>
  </si>
  <si>
    <t>9.45162</t>
  </si>
  <si>
    <t>GAB</t>
  </si>
  <si>
    <t>United Kingdom</t>
  </si>
  <si>
    <t>London</t>
  </si>
  <si>
    <t>51.5002</t>
  </si>
  <si>
    <t>-0.126236</t>
  </si>
  <si>
    <t>GBR</t>
  </si>
  <si>
    <t>Georgia</t>
  </si>
  <si>
    <t>Tbilisi</t>
  </si>
  <si>
    <t>41.71</t>
  </si>
  <si>
    <t>44.793</t>
  </si>
  <si>
    <t>GEO</t>
  </si>
  <si>
    <t>Ghana</t>
  </si>
  <si>
    <t>Accra</t>
  </si>
  <si>
    <t>5.57045</t>
  </si>
  <si>
    <t>-0.20795</t>
  </si>
  <si>
    <t>GHA</t>
  </si>
  <si>
    <t>Gibraltar</t>
  </si>
  <si>
    <t>Guinea</t>
  </si>
  <si>
    <t>Conakry</t>
  </si>
  <si>
    <t>9.51667</t>
  </si>
  <si>
    <t>-13.7</t>
  </si>
  <si>
    <t>GIN</t>
  </si>
  <si>
    <t>Gambia, The</t>
  </si>
  <si>
    <t>Banjul</t>
  </si>
  <si>
    <t>13.4495</t>
  </si>
  <si>
    <t>-16.5885</t>
  </si>
  <si>
    <t>GMB</t>
  </si>
  <si>
    <t>Guinea-Bissau</t>
  </si>
  <si>
    <t>Bissau</t>
  </si>
  <si>
    <t>11.8037</t>
  </si>
  <si>
    <t>-15.1804</t>
  </si>
  <si>
    <t>GNB</t>
  </si>
  <si>
    <t>Equatorial Guinea</t>
  </si>
  <si>
    <t>Malabo</t>
  </si>
  <si>
    <t>3.7523</t>
  </si>
  <si>
    <t>8.7741</t>
  </si>
  <si>
    <t>GNQ</t>
  </si>
  <si>
    <t>Greece</t>
  </si>
  <si>
    <t>Athens</t>
  </si>
  <si>
    <t>37.9792</t>
  </si>
  <si>
    <t>23.7166</t>
  </si>
  <si>
    <t>GRC</t>
  </si>
  <si>
    <t>Grenada</t>
  </si>
  <si>
    <t>Saint George's</t>
  </si>
  <si>
    <t>12.0653</t>
  </si>
  <si>
    <t>-61.7449</t>
  </si>
  <si>
    <t>GRD</t>
  </si>
  <si>
    <t>Greenland</t>
  </si>
  <si>
    <t>Nuuk</t>
  </si>
  <si>
    <t>64.1836</t>
  </si>
  <si>
    <t>-51.7214</t>
  </si>
  <si>
    <t>Guatemala</t>
  </si>
  <si>
    <t>Guatemala City</t>
  </si>
  <si>
    <t>14.6248</t>
  </si>
  <si>
    <t>-90.5328</t>
  </si>
  <si>
    <t>GTM</t>
  </si>
  <si>
    <t>Guam</t>
  </si>
  <si>
    <t>Agana</t>
  </si>
  <si>
    <t>13.4443</t>
  </si>
  <si>
    <t>144.794</t>
  </si>
  <si>
    <t>Guyana</t>
  </si>
  <si>
    <t>Georgetown</t>
  </si>
  <si>
    <t>6.80461</t>
  </si>
  <si>
    <t>-58.1548</t>
  </si>
  <si>
    <t>GUY</t>
  </si>
  <si>
    <t>Hong Kong SAR, China</t>
  </si>
  <si>
    <t>22.3964</t>
  </si>
  <si>
    <t>114.109</t>
  </si>
  <si>
    <t>HKG</t>
  </si>
  <si>
    <t>Honduras</t>
  </si>
  <si>
    <t>Tegucigalpa</t>
  </si>
  <si>
    <t>15.1333</t>
  </si>
  <si>
    <t>-87.4667</t>
  </si>
  <si>
    <t>HND</t>
  </si>
  <si>
    <t>Croatia</t>
  </si>
  <si>
    <t>Zagreb</t>
  </si>
  <si>
    <t>45.8069</t>
  </si>
  <si>
    <t>15.9614</t>
  </si>
  <si>
    <t>HRV</t>
  </si>
  <si>
    <t>Haiti</t>
  </si>
  <si>
    <t>Port-au-Prince</t>
  </si>
  <si>
    <t>18.5392</t>
  </si>
  <si>
    <t>-72.3288</t>
  </si>
  <si>
    <t>HTI</t>
  </si>
  <si>
    <t>Hungary</t>
  </si>
  <si>
    <t>Budapest</t>
  </si>
  <si>
    <t>47.4984</t>
  </si>
  <si>
    <t>19.0408</t>
  </si>
  <si>
    <t>HUN</t>
  </si>
  <si>
    <t>Indonesia</t>
  </si>
  <si>
    <t>Jakarta</t>
  </si>
  <si>
    <t>-6.19752</t>
  </si>
  <si>
    <t>106.83</t>
  </si>
  <si>
    <t>IDN</t>
  </si>
  <si>
    <t>Isle of Man</t>
  </si>
  <si>
    <t>Douglas</t>
  </si>
  <si>
    <t>54.1509</t>
  </si>
  <si>
    <t>-4.47928</t>
  </si>
  <si>
    <t>India</t>
  </si>
  <si>
    <t>New Delhi</t>
  </si>
  <si>
    <t>28.6353</t>
  </si>
  <si>
    <t>77.225</t>
  </si>
  <si>
    <t>IND</t>
  </si>
  <si>
    <t>Ireland</t>
  </si>
  <si>
    <t>Dublin</t>
  </si>
  <si>
    <t>53.3441</t>
  </si>
  <si>
    <t>-6.26749</t>
  </si>
  <si>
    <t>IRL</t>
  </si>
  <si>
    <t>Iran, Islamic Rep.</t>
  </si>
  <si>
    <t>Tehran</t>
  </si>
  <si>
    <t>35.6878</t>
  </si>
  <si>
    <t>51.4447</t>
  </si>
  <si>
    <t>IRN</t>
  </si>
  <si>
    <t>Iraq</t>
  </si>
  <si>
    <t>Baghdad</t>
  </si>
  <si>
    <t>33.3302</t>
  </si>
  <si>
    <t>44.394</t>
  </si>
  <si>
    <t>IRQ</t>
  </si>
  <si>
    <t>Iceland</t>
  </si>
  <si>
    <t>Reykjavik</t>
  </si>
  <si>
    <t>64.1353</t>
  </si>
  <si>
    <t>-21.8952</t>
  </si>
  <si>
    <t>ISL</t>
  </si>
  <si>
    <t>Israel</t>
  </si>
  <si>
    <t>31.7717</t>
  </si>
  <si>
    <t>35.2035</t>
  </si>
  <si>
    <t>ISR</t>
  </si>
  <si>
    <t>Italy</t>
  </si>
  <si>
    <t>Rome</t>
  </si>
  <si>
    <t>41.8955</t>
  </si>
  <si>
    <t>12.4823</t>
  </si>
  <si>
    <t>ITA</t>
  </si>
  <si>
    <t>Jamaica</t>
  </si>
  <si>
    <t>Kingston</t>
  </si>
  <si>
    <t>17.9927</t>
  </si>
  <si>
    <t>-76.792</t>
  </si>
  <si>
    <t>JAM</t>
  </si>
  <si>
    <t>Jordan</t>
  </si>
  <si>
    <t>Amman</t>
  </si>
  <si>
    <t>31.9497</t>
  </si>
  <si>
    <t>35.9263</t>
  </si>
  <si>
    <t>JOR</t>
  </si>
  <si>
    <t>Japan</t>
  </si>
  <si>
    <t>Tokyo</t>
  </si>
  <si>
    <t>35.67</t>
  </si>
  <si>
    <t>139.77</t>
  </si>
  <si>
    <t>JPN</t>
  </si>
  <si>
    <t>Kazakhstan</t>
  </si>
  <si>
    <t>Astana</t>
  </si>
  <si>
    <t>51.1879</t>
  </si>
  <si>
    <t>71.4382</t>
  </si>
  <si>
    <t>KAZ</t>
  </si>
  <si>
    <t>Kenya</t>
  </si>
  <si>
    <t>Nairobi</t>
  </si>
  <si>
    <t>-1.27975</t>
  </si>
  <si>
    <t>36.8126</t>
  </si>
  <si>
    <t>KEN</t>
  </si>
  <si>
    <t>Kyrgyz Republic</t>
  </si>
  <si>
    <t>Bishkek</t>
  </si>
  <si>
    <t>42.8851</t>
  </si>
  <si>
    <t>74.6057</t>
  </si>
  <si>
    <t>KGZ</t>
  </si>
  <si>
    <t>Cambodia</t>
  </si>
  <si>
    <t>Phnom Penh</t>
  </si>
  <si>
    <t>11.5556</t>
  </si>
  <si>
    <t>104.874</t>
  </si>
  <si>
    <t>KHM</t>
  </si>
  <si>
    <t>Kiribati</t>
  </si>
  <si>
    <t>Tarawa</t>
  </si>
  <si>
    <t>1.32905</t>
  </si>
  <si>
    <t>172.979</t>
  </si>
  <si>
    <t>KIR</t>
  </si>
  <si>
    <t>St. Kitts and Nevis</t>
  </si>
  <si>
    <t>Basseterre</t>
  </si>
  <si>
    <t>17.3</t>
  </si>
  <si>
    <t>-62.7309</t>
  </si>
  <si>
    <t>KNA</t>
  </si>
  <si>
    <t>Korea, Rep.</t>
  </si>
  <si>
    <t>Seoul</t>
  </si>
  <si>
    <t>37.5323</t>
  </si>
  <si>
    <t>126.957</t>
  </si>
  <si>
    <t>KOR</t>
  </si>
  <si>
    <t>Kuwait</t>
  </si>
  <si>
    <t>Kuwait City</t>
  </si>
  <si>
    <t>29.3721</t>
  </si>
  <si>
    <t>47.9824</t>
  </si>
  <si>
    <t>KWT</t>
  </si>
  <si>
    <t>Lao PDR</t>
  </si>
  <si>
    <t>Vientiane</t>
  </si>
  <si>
    <t>18.5826</t>
  </si>
  <si>
    <t>102.177</t>
  </si>
  <si>
    <t>LAO</t>
  </si>
  <si>
    <t>Lebanon</t>
  </si>
  <si>
    <t>Beirut</t>
  </si>
  <si>
    <t>33.8872</t>
  </si>
  <si>
    <t>35.5134</t>
  </si>
  <si>
    <t>LBN</t>
  </si>
  <si>
    <t>Liberia</t>
  </si>
  <si>
    <t>Monrovia</t>
  </si>
  <si>
    <t>6.30039</t>
  </si>
  <si>
    <t>-10.7957</t>
  </si>
  <si>
    <t>LBR</t>
  </si>
  <si>
    <t>Libya</t>
  </si>
  <si>
    <t>Tripoli</t>
  </si>
  <si>
    <t>32.8578</t>
  </si>
  <si>
    <t>13.1072</t>
  </si>
  <si>
    <t>LBY</t>
  </si>
  <si>
    <t>St. Lucia</t>
  </si>
  <si>
    <t>Castries</t>
  </si>
  <si>
    <t>14</t>
  </si>
  <si>
    <t>-60.9832</t>
  </si>
  <si>
    <t>LCA</t>
  </si>
  <si>
    <t>Liechtenstein</t>
  </si>
  <si>
    <t>Vaduz</t>
  </si>
  <si>
    <t>47.1411</t>
  </si>
  <si>
    <t>9.52148</t>
  </si>
  <si>
    <t>Sri Lanka</t>
  </si>
  <si>
    <t>Colombo</t>
  </si>
  <si>
    <t>6.92148</t>
  </si>
  <si>
    <t>79.8528</t>
  </si>
  <si>
    <t>LKA</t>
  </si>
  <si>
    <t>Lesotho</t>
  </si>
  <si>
    <t>Maseru</t>
  </si>
  <si>
    <t>-29.5208</t>
  </si>
  <si>
    <t>27.7167</t>
  </si>
  <si>
    <t>LSO</t>
  </si>
  <si>
    <t>Lithuania</t>
  </si>
  <si>
    <t>Vilnius</t>
  </si>
  <si>
    <t>54.6896</t>
  </si>
  <si>
    <t>25.2799</t>
  </si>
  <si>
    <t>LTU</t>
  </si>
  <si>
    <t>Luxembourg</t>
  </si>
  <si>
    <t>49.61</t>
  </si>
  <si>
    <t>6.1296</t>
  </si>
  <si>
    <t>LUX</t>
  </si>
  <si>
    <t>Latvia</t>
  </si>
  <si>
    <t>Riga</t>
  </si>
  <si>
    <t>56.9465</t>
  </si>
  <si>
    <t>24.1048</t>
  </si>
  <si>
    <t>LVA</t>
  </si>
  <si>
    <t>Macao SAR, China</t>
  </si>
  <si>
    <t>22.1667</t>
  </si>
  <si>
    <t>113.55</t>
  </si>
  <si>
    <t>MAC</t>
  </si>
  <si>
    <t>St. Martin (French part)</t>
  </si>
  <si>
    <t>Marigot</t>
  </si>
  <si>
    <t>Morocco</t>
  </si>
  <si>
    <t>Rabat</t>
  </si>
  <si>
    <t>33.9905</t>
  </si>
  <si>
    <t>-6.8704</t>
  </si>
  <si>
    <t>MAR</t>
  </si>
  <si>
    <t>Monaco</t>
  </si>
  <si>
    <t>43.7325</t>
  </si>
  <si>
    <t>7.41891</t>
  </si>
  <si>
    <t>Moldova</t>
  </si>
  <si>
    <t>Chisinau</t>
  </si>
  <si>
    <t>47.0167</t>
  </si>
  <si>
    <t>28.8497</t>
  </si>
  <si>
    <t>MDA</t>
  </si>
  <si>
    <t>Madagascar</t>
  </si>
  <si>
    <t>Antananarivo</t>
  </si>
  <si>
    <t>-20.4667</t>
  </si>
  <si>
    <t>45.7167</t>
  </si>
  <si>
    <t>MDG</t>
  </si>
  <si>
    <t>Maldives</t>
  </si>
  <si>
    <t>Male</t>
  </si>
  <si>
    <t>4.1742</t>
  </si>
  <si>
    <t>73.5109</t>
  </si>
  <si>
    <t>MDV</t>
  </si>
  <si>
    <t>Mexico</t>
  </si>
  <si>
    <t>Mexico City</t>
  </si>
  <si>
    <t>19.427</t>
  </si>
  <si>
    <t>-99.1276</t>
  </si>
  <si>
    <t>MEX</t>
  </si>
  <si>
    <t>Marshall Islands</t>
  </si>
  <si>
    <t>Majuro</t>
  </si>
  <si>
    <t>7.11046</t>
  </si>
  <si>
    <t>171.135</t>
  </si>
  <si>
    <t>North Macedonia</t>
  </si>
  <si>
    <t>Skopje</t>
  </si>
  <si>
    <t>42.0024</t>
  </si>
  <si>
    <t>21.4361</t>
  </si>
  <si>
    <t>MKD</t>
  </si>
  <si>
    <t>Mali</t>
  </si>
  <si>
    <t>Bamako</t>
  </si>
  <si>
    <t>13.5667</t>
  </si>
  <si>
    <t>-7.50034</t>
  </si>
  <si>
    <t>MLI</t>
  </si>
  <si>
    <t>Malta</t>
  </si>
  <si>
    <t>Valletta</t>
  </si>
  <si>
    <t>35.9042</t>
  </si>
  <si>
    <t>14.5189</t>
  </si>
  <si>
    <t>MLT</t>
  </si>
  <si>
    <t>Myanmar</t>
  </si>
  <si>
    <t>Naypyidaw</t>
  </si>
  <si>
    <t>21.914</t>
  </si>
  <si>
    <t>95.9562</t>
  </si>
  <si>
    <t>Montenegro</t>
  </si>
  <si>
    <t>Podgorica</t>
  </si>
  <si>
    <t>42.4602</t>
  </si>
  <si>
    <t>19.2595</t>
  </si>
  <si>
    <t>MNE</t>
  </si>
  <si>
    <t>Mongolia</t>
  </si>
  <si>
    <t>Ulaanbaatar</t>
  </si>
  <si>
    <t>47.9129</t>
  </si>
  <si>
    <t>106.937</t>
  </si>
  <si>
    <t>MNG</t>
  </si>
  <si>
    <t>Northern Mariana Islands</t>
  </si>
  <si>
    <t>Saipan</t>
  </si>
  <si>
    <t>15.1935</t>
  </si>
  <si>
    <t>145.765</t>
  </si>
  <si>
    <t>Mozambique</t>
  </si>
  <si>
    <t>Maputo</t>
  </si>
  <si>
    <t>-25.9664</t>
  </si>
  <si>
    <t>32.5713</t>
  </si>
  <si>
    <t>MOZ</t>
  </si>
  <si>
    <t>Mauritania</t>
  </si>
  <si>
    <t>Nouakchott</t>
  </si>
  <si>
    <t>18.2367</t>
  </si>
  <si>
    <t>-15.9824</t>
  </si>
  <si>
    <t>MRT</t>
  </si>
  <si>
    <t>Mauritius</t>
  </si>
  <si>
    <t>Port Louis</t>
  </si>
  <si>
    <t>-20.1605</t>
  </si>
  <si>
    <t>57.4977</t>
  </si>
  <si>
    <t>MUS</t>
  </si>
  <si>
    <t>Malawi</t>
  </si>
  <si>
    <t>Lilongwe</t>
  </si>
  <si>
    <t>-13.9899</t>
  </si>
  <si>
    <t>33.7703</t>
  </si>
  <si>
    <t>MWI</t>
  </si>
  <si>
    <t>Malaysia</t>
  </si>
  <si>
    <t>Kuala Lumpur</t>
  </si>
  <si>
    <t>3.12433</t>
  </si>
  <si>
    <t>101.684</t>
  </si>
  <si>
    <t>MYS</t>
  </si>
  <si>
    <t>Namibia</t>
  </si>
  <si>
    <t>Windhoek</t>
  </si>
  <si>
    <t>-22.5648</t>
  </si>
  <si>
    <t>17.0931</t>
  </si>
  <si>
    <t>NAM</t>
  </si>
  <si>
    <t>New Caledonia</t>
  </si>
  <si>
    <t>Noum'ea</t>
  </si>
  <si>
    <t>-22.2677</t>
  </si>
  <si>
    <t>166.464</t>
  </si>
  <si>
    <t>Niger</t>
  </si>
  <si>
    <t>Niamey</t>
  </si>
  <si>
    <t>13.514</t>
  </si>
  <si>
    <t>2.1073</t>
  </si>
  <si>
    <t>NER</t>
  </si>
  <si>
    <t>Nigeria</t>
  </si>
  <si>
    <t>Abuja</t>
  </si>
  <si>
    <t>9.05804</t>
  </si>
  <si>
    <t>7.48906</t>
  </si>
  <si>
    <t>NGA</t>
  </si>
  <si>
    <t>Nicaragua</t>
  </si>
  <si>
    <t>Managua</t>
  </si>
  <si>
    <t>12.1475</t>
  </si>
  <si>
    <t>-86.2734</t>
  </si>
  <si>
    <t>NIC</t>
  </si>
  <si>
    <t>Netherlands</t>
  </si>
  <si>
    <t>Amsterdam</t>
  </si>
  <si>
    <t>52.3738</t>
  </si>
  <si>
    <t>4.89095</t>
  </si>
  <si>
    <t>NLD</t>
  </si>
  <si>
    <t>Norway</t>
  </si>
  <si>
    <t>Oslo</t>
  </si>
  <si>
    <t>59.9138</t>
  </si>
  <si>
    <t>10.7387</t>
  </si>
  <si>
    <t>NOR</t>
  </si>
  <si>
    <t>Nepal</t>
  </si>
  <si>
    <t>Kathmandu</t>
  </si>
  <si>
    <t>27.6939</t>
  </si>
  <si>
    <t>85.3157</t>
  </si>
  <si>
    <t>NPL</t>
  </si>
  <si>
    <t>Naoero</t>
  </si>
  <si>
    <t>Yaren District</t>
  </si>
  <si>
    <t>-0.5477</t>
  </si>
  <si>
    <t>166.920867</t>
  </si>
  <si>
    <t>New Zealand</t>
  </si>
  <si>
    <t>Wellington</t>
  </si>
  <si>
    <t>-41.2865</t>
  </si>
  <si>
    <t>174.776</t>
  </si>
  <si>
    <t>NZL</t>
  </si>
  <si>
    <t>Oman</t>
  </si>
  <si>
    <t>Muscat</t>
  </si>
  <si>
    <t>23.6105</t>
  </si>
  <si>
    <t>58.5874</t>
  </si>
  <si>
    <t>OMN</t>
  </si>
  <si>
    <t>Pakistan</t>
  </si>
  <si>
    <t>Islamabad</t>
  </si>
  <si>
    <t>30.5167</t>
  </si>
  <si>
    <t>72.8</t>
  </si>
  <si>
    <t>PAK</t>
  </si>
  <si>
    <t>Panama</t>
  </si>
  <si>
    <t>Panama City</t>
  </si>
  <si>
    <t>8.99427</t>
  </si>
  <si>
    <t>-79.5188</t>
  </si>
  <si>
    <t>PAN</t>
  </si>
  <si>
    <t>Peru</t>
  </si>
  <si>
    <t>Lima</t>
  </si>
  <si>
    <t>-12.0931</t>
  </si>
  <si>
    <t>-77.0465</t>
  </si>
  <si>
    <t>PER</t>
  </si>
  <si>
    <t>Philippines</t>
  </si>
  <si>
    <t>Manila</t>
  </si>
  <si>
    <t>14.5515</t>
  </si>
  <si>
    <t>121.035</t>
  </si>
  <si>
    <t>PHL</t>
  </si>
  <si>
    <t>Palau</t>
  </si>
  <si>
    <t>Koror</t>
  </si>
  <si>
    <t>7.34194</t>
  </si>
  <si>
    <t>134.479</t>
  </si>
  <si>
    <t>PLW</t>
  </si>
  <si>
    <t>Papua New Guinea</t>
  </si>
  <si>
    <t>Port Moresby</t>
  </si>
  <si>
    <t>-9.47357</t>
  </si>
  <si>
    <t>147.194</t>
  </si>
  <si>
    <t>PNG</t>
  </si>
  <si>
    <t>Poland</t>
  </si>
  <si>
    <t>Warsaw</t>
  </si>
  <si>
    <t>52.26</t>
  </si>
  <si>
    <t>21.02</t>
  </si>
  <si>
    <t>POL</t>
  </si>
  <si>
    <t>Puerto Rico (US)</t>
  </si>
  <si>
    <t>San Juan</t>
  </si>
  <si>
    <t>18.23</t>
  </si>
  <si>
    <t>-66</t>
  </si>
  <si>
    <t>Korea, Dem. People's Rep.</t>
  </si>
  <si>
    <t>Pyongyang</t>
  </si>
  <si>
    <t>39.0319</t>
  </si>
  <si>
    <t>125.754</t>
  </si>
  <si>
    <t>Portugal</t>
  </si>
  <si>
    <t>Lisbon</t>
  </si>
  <si>
    <t>38.7072</t>
  </si>
  <si>
    <t>-9.13552</t>
  </si>
  <si>
    <t>PRT</t>
  </si>
  <si>
    <t>Paraguay</t>
  </si>
  <si>
    <t>Asuncion</t>
  </si>
  <si>
    <t>-25.3005</t>
  </si>
  <si>
    <t>-57.6362</t>
  </si>
  <si>
    <t>PRY</t>
  </si>
  <si>
    <t>West Bank and Gaza</t>
  </si>
  <si>
    <t>PSE</t>
  </si>
  <si>
    <t>French Polynesia</t>
  </si>
  <si>
    <t>Papeete</t>
  </si>
  <si>
    <t>-17.535</t>
  </si>
  <si>
    <t>-149.57</t>
  </si>
  <si>
    <t>Qatar</t>
  </si>
  <si>
    <t>Doha</t>
  </si>
  <si>
    <t>25.2948</t>
  </si>
  <si>
    <t>51.5082</t>
  </si>
  <si>
    <t>QAT</t>
  </si>
  <si>
    <t>Romania</t>
  </si>
  <si>
    <t>Bucharest</t>
  </si>
  <si>
    <t>44.4479</t>
  </si>
  <si>
    <t>26.0979</t>
  </si>
  <si>
    <t>ROU</t>
  </si>
  <si>
    <t>Russian Federation</t>
  </si>
  <si>
    <t>Moscow</t>
  </si>
  <si>
    <t>55.7558</t>
  </si>
  <si>
    <t>37.6176</t>
  </si>
  <si>
    <t>RUS</t>
  </si>
  <si>
    <t>Rwanda</t>
  </si>
  <si>
    <t>Kigali</t>
  </si>
  <si>
    <t>-1.95325</t>
  </si>
  <si>
    <t>30.0587</t>
  </si>
  <si>
    <t>RWA</t>
  </si>
  <si>
    <t>Saudi Arabia</t>
  </si>
  <si>
    <t>Riyadh</t>
  </si>
  <si>
    <t>24.6748</t>
  </si>
  <si>
    <t>46.6977</t>
  </si>
  <si>
    <t>SAU</t>
  </si>
  <si>
    <t>Sudan</t>
  </si>
  <si>
    <t>Khartoum</t>
  </si>
  <si>
    <t>15.5932</t>
  </si>
  <si>
    <t>32.5363</t>
  </si>
  <si>
    <t>SDN</t>
  </si>
  <si>
    <t>Senegal</t>
  </si>
  <si>
    <t>Dakar</t>
  </si>
  <si>
    <t>14.7247</t>
  </si>
  <si>
    <t>-17.4734</t>
  </si>
  <si>
    <t>SEN</t>
  </si>
  <si>
    <t>Singapore</t>
  </si>
  <si>
    <t>1.28941</t>
  </si>
  <si>
    <t>103.85</t>
  </si>
  <si>
    <t>SGP</t>
  </si>
  <si>
    <t>Solomon Islands</t>
  </si>
  <si>
    <t>Honiara</t>
  </si>
  <si>
    <t>-9.42676</t>
  </si>
  <si>
    <t>159.949</t>
  </si>
  <si>
    <t>SLB</t>
  </si>
  <si>
    <t>Sierra Leone</t>
  </si>
  <si>
    <t>Freetown</t>
  </si>
  <si>
    <t>8.4821</t>
  </si>
  <si>
    <t>-13.2134</t>
  </si>
  <si>
    <t>SLE</t>
  </si>
  <si>
    <t>El Salvador</t>
  </si>
  <si>
    <t>San Salvador</t>
  </si>
  <si>
    <t>13.7034</t>
  </si>
  <si>
    <t>-89.2073</t>
  </si>
  <si>
    <t>SLV</t>
  </si>
  <si>
    <t>San Marino</t>
  </si>
  <si>
    <t>43.9322</t>
  </si>
  <si>
    <t>12.4486</t>
  </si>
  <si>
    <t>SMR</t>
  </si>
  <si>
    <t>Somalia, Fed. Rep.</t>
  </si>
  <si>
    <t>Mogadishu</t>
  </si>
  <si>
    <t>2.07515</t>
  </si>
  <si>
    <t>45.3254</t>
  </si>
  <si>
    <t>Serbia</t>
  </si>
  <si>
    <t>Belgrade</t>
  </si>
  <si>
    <t>44.8024</t>
  </si>
  <si>
    <t>20.4656</t>
  </si>
  <si>
    <t>SRB</t>
  </si>
  <si>
    <t>South Sudan</t>
  </si>
  <si>
    <t>Juba</t>
  </si>
  <si>
    <t>4.85</t>
  </si>
  <si>
    <t>31.6</t>
  </si>
  <si>
    <t>SSD</t>
  </si>
  <si>
    <t>Sao Tome and Principe</t>
  </si>
  <si>
    <t>Sao Tome</t>
  </si>
  <si>
    <t>0.20618</t>
  </si>
  <si>
    <t>6.6071</t>
  </si>
  <si>
    <t>STP</t>
  </si>
  <si>
    <t>Suriname</t>
  </si>
  <si>
    <t>Paramaribo</t>
  </si>
  <si>
    <t>5.8232</t>
  </si>
  <si>
    <t>-55.1679</t>
  </si>
  <si>
    <t>SUR</t>
  </si>
  <si>
    <t>Slovak Republic</t>
  </si>
  <si>
    <t>Bratislava</t>
  </si>
  <si>
    <t>48.1484</t>
  </si>
  <si>
    <t>17.1073</t>
  </si>
  <si>
    <t>SVK</t>
  </si>
  <si>
    <t>Slovenia</t>
  </si>
  <si>
    <t>Ljubljana</t>
  </si>
  <si>
    <t>46.0546</t>
  </si>
  <si>
    <t>14.5044</t>
  </si>
  <si>
    <t>SVN</t>
  </si>
  <si>
    <t>Sweden</t>
  </si>
  <si>
    <t>Stockholm</t>
  </si>
  <si>
    <t>59.3327</t>
  </si>
  <si>
    <t>18.0645</t>
  </si>
  <si>
    <t>SWE</t>
  </si>
  <si>
    <t>Eswatini</t>
  </si>
  <si>
    <t>Mbabane</t>
  </si>
  <si>
    <t>-26.5225</t>
  </si>
  <si>
    <t>31.4659</t>
  </si>
  <si>
    <t>Sint Maarten (Dutch part)</t>
  </si>
  <si>
    <t>Philipsburg</t>
  </si>
  <si>
    <t>Seychelles</t>
  </si>
  <si>
    <t>Victoria</t>
  </si>
  <si>
    <t>-4.6309</t>
  </si>
  <si>
    <t>55.4466</t>
  </si>
  <si>
    <t>SYC</t>
  </si>
  <si>
    <t>Syrian Arab Republic</t>
  </si>
  <si>
    <t>Damascus</t>
  </si>
  <si>
    <t>33.5146</t>
  </si>
  <si>
    <t>36.3119</t>
  </si>
  <si>
    <t>Turks and Caicos Islands</t>
  </si>
  <si>
    <t>Grand Turk</t>
  </si>
  <si>
    <t>21.4602778</t>
  </si>
  <si>
    <t>-71.141389</t>
  </si>
  <si>
    <t>Chad</t>
  </si>
  <si>
    <t>N'Djamena</t>
  </si>
  <si>
    <t>12.1048</t>
  </si>
  <si>
    <t>15.0445</t>
  </si>
  <si>
    <t>TCD</t>
  </si>
  <si>
    <t>Togo</t>
  </si>
  <si>
    <t>Lome</t>
  </si>
  <si>
    <t>6.1228</t>
  </si>
  <si>
    <t>1.2255</t>
  </si>
  <si>
    <t>TGO</t>
  </si>
  <si>
    <t>Thailand</t>
  </si>
  <si>
    <t>Bangkok</t>
  </si>
  <si>
    <t>13.7308</t>
  </si>
  <si>
    <t>100.521</t>
  </si>
  <si>
    <t>THA</t>
  </si>
  <si>
    <t>Tajikistan</t>
  </si>
  <si>
    <t>Dushanbe</t>
  </si>
  <si>
    <t>38.5878</t>
  </si>
  <si>
    <t>68.7864</t>
  </si>
  <si>
    <t>Turkmenistan</t>
  </si>
  <si>
    <t>Ashgabat</t>
  </si>
  <si>
    <t>37.9509</t>
  </si>
  <si>
    <t>58.3794</t>
  </si>
  <si>
    <t>Timor-Leste</t>
  </si>
  <si>
    <t>Dili</t>
  </si>
  <si>
    <t>-8.56667</t>
  </si>
  <si>
    <t>125.567</t>
  </si>
  <si>
    <t>TLS</t>
  </si>
  <si>
    <t>Tonga</t>
  </si>
  <si>
    <t>Nuku'alofa</t>
  </si>
  <si>
    <t>-21.136</t>
  </si>
  <si>
    <t>-175.216</t>
  </si>
  <si>
    <t>TON</t>
  </si>
  <si>
    <t>Trinidad and Tobago</t>
  </si>
  <si>
    <t>Port-of-Spain</t>
  </si>
  <si>
    <t>10.6596</t>
  </si>
  <si>
    <t>-61.4789</t>
  </si>
  <si>
    <t>TTO</t>
  </si>
  <si>
    <t>Tunisia</t>
  </si>
  <si>
    <t>Tunis</t>
  </si>
  <si>
    <t>36.7899</t>
  </si>
  <si>
    <t>10.21</t>
  </si>
  <si>
    <t>TUN</t>
  </si>
  <si>
    <t>Turkiye</t>
  </si>
  <si>
    <t>Ankara</t>
  </si>
  <si>
    <t>39.7153</t>
  </si>
  <si>
    <t>32.3606</t>
  </si>
  <si>
    <t>TUR</t>
  </si>
  <si>
    <t>Tuvalu</t>
  </si>
  <si>
    <t>Funafuti</t>
  </si>
  <si>
    <t>-8.6314877</t>
  </si>
  <si>
    <t>179.089567</t>
  </si>
  <si>
    <t>Tanzania</t>
  </si>
  <si>
    <t>Dodoma</t>
  </si>
  <si>
    <t>-6.17486</t>
  </si>
  <si>
    <t>35.7382</t>
  </si>
  <si>
    <t>TZA</t>
  </si>
  <si>
    <t>Uganda</t>
  </si>
  <si>
    <t>Kampala</t>
  </si>
  <si>
    <t>0.314269</t>
  </si>
  <si>
    <t>32.5729</t>
  </si>
  <si>
    <t>UGA</t>
  </si>
  <si>
    <t>Ukraine</t>
  </si>
  <si>
    <t>Kiev</t>
  </si>
  <si>
    <t>50.4536</t>
  </si>
  <si>
    <t>30.5038</t>
  </si>
  <si>
    <t>UKR</t>
  </si>
  <si>
    <t>Uruguay</t>
  </si>
  <si>
    <t>Montevideo</t>
  </si>
  <si>
    <t>-34.8941</t>
  </si>
  <si>
    <t>-56.0675</t>
  </si>
  <si>
    <t>URY</t>
  </si>
  <si>
    <t>United States</t>
  </si>
  <si>
    <t>Washington D.C.</t>
  </si>
  <si>
    <t>38.8895</t>
  </si>
  <si>
    <t>-77.032</t>
  </si>
  <si>
    <t>USA</t>
  </si>
  <si>
    <t>Uzbekistan</t>
  </si>
  <si>
    <t>Tashkent</t>
  </si>
  <si>
    <t>41.3052</t>
  </si>
  <si>
    <t>69.269</t>
  </si>
  <si>
    <t>UZB</t>
  </si>
  <si>
    <t>St. Vincent and the Grenadines</t>
  </si>
  <si>
    <t>Kingstown</t>
  </si>
  <si>
    <t>13.2035</t>
  </si>
  <si>
    <t>-61.2653</t>
  </si>
  <si>
    <t>VCT</t>
  </si>
  <si>
    <t>Venezuela, RB</t>
  </si>
  <si>
    <t>Caracas</t>
  </si>
  <si>
    <t>9.08165</t>
  </si>
  <si>
    <t>-69.8371</t>
  </si>
  <si>
    <t>British Virgin Islands</t>
  </si>
  <si>
    <t>Road Town</t>
  </si>
  <si>
    <t>18.431389</t>
  </si>
  <si>
    <t>-64.623056</t>
  </si>
  <si>
    <t>Virgin Islands (U.S.)</t>
  </si>
  <si>
    <t>Charlotte Amalie</t>
  </si>
  <si>
    <t>18.3358</t>
  </si>
  <si>
    <t>-64.8963</t>
  </si>
  <si>
    <t>Viet Nam</t>
  </si>
  <si>
    <t>Hanoi</t>
  </si>
  <si>
    <t>21.0069</t>
  </si>
  <si>
    <t>105.825</t>
  </si>
  <si>
    <t>VNM</t>
  </si>
  <si>
    <t>Vanuatu</t>
  </si>
  <si>
    <t>Port-Vila</t>
  </si>
  <si>
    <t>-17.7404</t>
  </si>
  <si>
    <t>168.321</t>
  </si>
  <si>
    <t>VUT</t>
  </si>
  <si>
    <t>Samoa</t>
  </si>
  <si>
    <t>Apia</t>
  </si>
  <si>
    <t>-13.8314</t>
  </si>
  <si>
    <t>-171.752</t>
  </si>
  <si>
    <t>WSM</t>
  </si>
  <si>
    <t>Kosovo</t>
  </si>
  <si>
    <t>Pristina</t>
  </si>
  <si>
    <t>42.565</t>
  </si>
  <si>
    <t>20.926</t>
  </si>
  <si>
    <t>XKX</t>
  </si>
  <si>
    <t>Yemen, Rep.</t>
  </si>
  <si>
    <t>Sana'a</t>
  </si>
  <si>
    <t>15.352</t>
  </si>
  <si>
    <t>44.2075</t>
  </si>
  <si>
    <t>South Africa</t>
  </si>
  <si>
    <t>Pretoria</t>
  </si>
  <si>
    <t>-25.746</t>
  </si>
  <si>
    <t>28.1871</t>
  </si>
  <si>
    <t>ZAF</t>
  </si>
  <si>
    <t>Zambia</t>
  </si>
  <si>
    <t>Lusaka</t>
  </si>
  <si>
    <t>-15.3982</t>
  </si>
  <si>
    <t>28.2937</t>
  </si>
  <si>
    <t>ZMB</t>
  </si>
  <si>
    <t>Zimbabwe</t>
  </si>
  <si>
    <t>Harare</t>
  </si>
  <si>
    <t>-17.8312</t>
  </si>
  <si>
    <t>31.0672</t>
  </si>
  <si>
    <t>ZWE</t>
  </si>
  <si>
    <t>Country Code</t>
  </si>
  <si>
    <t>Country</t>
  </si>
  <si>
    <t>Region</t>
  </si>
  <si>
    <t>income Level</t>
  </si>
  <si>
    <t>Capital City</t>
  </si>
  <si>
    <t>Latitude</t>
  </si>
  <si>
    <t>Longitude</t>
  </si>
  <si>
    <t>Inflation Year</t>
  </si>
  <si>
    <t>Inflation Annual Pct</t>
  </si>
  <si>
    <t xml:space="preserve">Restaurants </t>
  </si>
  <si>
    <t xml:space="preserve">Cost of Living </t>
  </si>
  <si>
    <t xml:space="preserve">Rent </t>
  </si>
  <si>
    <t xml:space="preserve">Groceries  </t>
  </si>
  <si>
    <t>Purchasing Power</t>
  </si>
  <si>
    <t>Transport Monthly Pass _ Usd</t>
  </si>
  <si>
    <t>Transport Oneway _Usd</t>
  </si>
  <si>
    <t>Bread Price _Usd</t>
  </si>
  <si>
    <t>Rent Monthly_Usd</t>
  </si>
  <si>
    <t>Utilities Monthly_Usd</t>
  </si>
  <si>
    <t>Row Labels</t>
  </si>
  <si>
    <t>Grand Total</t>
  </si>
  <si>
    <t>Cost of Living</t>
  </si>
  <si>
    <t>Average of Inflation Annual Pct</t>
  </si>
  <si>
    <t>Correlation Matrix</t>
  </si>
  <si>
    <t>Correlation Charts</t>
  </si>
  <si>
    <t xml:space="preserve">Sum of Cost of Living </t>
  </si>
  <si>
    <t xml:space="preserve">         Comparison of Inflation rates Among selected Countries (2024)</t>
  </si>
  <si>
    <t>Average  Inflation Rate (%)</t>
  </si>
  <si>
    <t xml:space="preserve">Average of Cost of Living </t>
  </si>
  <si>
    <t xml:space="preserve">         Average Inflation and Cost of Living by Regions</t>
  </si>
  <si>
    <t xml:space="preserve">                   Top 10 Countries with Highest Inflation Rate</t>
  </si>
  <si>
    <t>Countries</t>
  </si>
  <si>
    <t>Year</t>
  </si>
  <si>
    <t>EDA</t>
  </si>
  <si>
    <t xml:space="preserve">Evaluation of success Metrics - accuracy of models(confidence level) e.g 95% </t>
  </si>
  <si>
    <t>country</t>
  </si>
  <si>
    <t>region</t>
  </si>
  <si>
    <t>income_level</t>
  </si>
  <si>
    <t>capital_city</t>
  </si>
  <si>
    <t>latitude</t>
  </si>
  <si>
    <t>longitude</t>
  </si>
  <si>
    <t>inflation_year</t>
  </si>
  <si>
    <t>cost_living_index</t>
  </si>
  <si>
    <t>rent_index</t>
  </si>
  <si>
    <t>groceries_index</t>
  </si>
  <si>
    <t>restaurants_index</t>
  </si>
  <si>
    <t>purchasing_power_index</t>
  </si>
  <si>
    <t>bread_price_usd</t>
  </si>
  <si>
    <t>transport_oneway_usd</t>
  </si>
  <si>
    <t>transport_monthly_pass_usd</t>
  </si>
  <si>
    <t>rent_monthly_usd</t>
  </si>
  <si>
    <t>utilities_monthly_usd</t>
  </si>
  <si>
    <t>country code</t>
  </si>
  <si>
    <t>Column4</t>
  </si>
  <si>
    <t>Column5</t>
  </si>
  <si>
    <t>Inflation Rate</t>
  </si>
  <si>
    <t>R2</t>
  </si>
  <si>
    <t>Slope</t>
  </si>
  <si>
    <t xml:space="preserve"> </t>
  </si>
  <si>
    <r>
      <t>What is the  overall trend  of inflation across countries overtime?</t>
    </r>
    <r>
      <rPr>
        <sz val="12"/>
        <color theme="1"/>
        <rFont val="Times New Roman"/>
        <family val="1"/>
      </rPr>
      <t xml:space="preserve"> </t>
    </r>
  </si>
  <si>
    <t>Which countries have the highest and lowest inflation rates?</t>
  </si>
  <si>
    <t>Which countries have experienced the greatest increase in cost of living?</t>
  </si>
  <si>
    <t>What is the relationship between inflation and cost of living?</t>
  </si>
  <si>
    <r>
      <t>How does inflation and cost of living vary by region?</t>
    </r>
    <r>
      <rPr>
        <sz val="12"/>
        <color theme="1"/>
        <rFont val="Times New Roman"/>
        <family val="1"/>
      </rPr>
      <t xml:space="preserve"> </t>
    </r>
  </si>
  <si>
    <r>
      <t xml:space="preserve">How does Nigeria compare with other selected countries in terms of inflation </t>
    </r>
    <r>
      <rPr>
        <sz val="12"/>
        <color theme="1"/>
        <rFont val="Times New Roman"/>
        <family val="1"/>
      </rPr>
      <t xml:space="preserve"> </t>
    </r>
    <r>
      <rPr>
        <sz val="12"/>
        <color rgb="FF000000"/>
        <rFont val="Times New Roman"/>
        <family val="1"/>
      </rPr>
      <t>and cost of  living?</t>
    </r>
  </si>
  <si>
    <t>BUSINESS QUESTIONS</t>
  </si>
  <si>
    <t>GLOBAL INFLATION AND COST OF LIVING ANALYSIS - BUSINESS QUESTIONS</t>
  </si>
  <si>
    <t xml:space="preserve">                   </t>
  </si>
  <si>
    <t>Average Annual Inflation Across Countries</t>
  </si>
  <si>
    <t>1.           What is the overall trend of inflation across countries overtime?</t>
  </si>
  <si>
    <t>2.  Which countries have the highest and lowest inflation rates?</t>
  </si>
  <si>
    <t xml:space="preserve">                                      Top 10 Countries with Highest Inflation Rate</t>
  </si>
  <si>
    <t xml:space="preserve">                                      Bottom 10 Countries with Lowest Inflation Rate</t>
  </si>
  <si>
    <t xml:space="preserve">                     10 Countries with Lowest Inflation Rate</t>
  </si>
  <si>
    <t>4.  Which countries have experienced the greatest increase in cost of living?</t>
  </si>
  <si>
    <t xml:space="preserve">                                  Cost of Living Index for Top 10 Countries</t>
  </si>
  <si>
    <t xml:space="preserve">5.      How does Nigeria compare with other selected countries in terms of inflation </t>
  </si>
  <si>
    <t>6. How does inflation and cost of living vary by region?</t>
  </si>
  <si>
    <t>3.  What is the relationship between inflation and cost of living?</t>
  </si>
  <si>
    <t>Inflation Value Check</t>
  </si>
  <si>
    <t>Cost of Living Value Check</t>
  </si>
  <si>
    <t>Correlation  between Inflation Rate and Cost of Living Index</t>
  </si>
  <si>
    <t>Cost of Living Index</t>
  </si>
  <si>
    <t xml:space="preserve">                            The correlation shows a "Weak to Moderate Negative Relatioship"</t>
  </si>
  <si>
    <t>Each interpretation directly answers one business question and explain the managerial implication</t>
  </si>
  <si>
    <t xml:space="preserve">1.    Overall Trend  of Inflation Across Countries </t>
  </si>
  <si>
    <t xml:space="preserve">       </t>
  </si>
  <si>
    <t xml:space="preserve">    2022 shows extremely high inflation, with an average of  about 82.97%. However, only 3 countries have observations, so this figure should not be treated as representative of all </t>
  </si>
  <si>
    <t xml:space="preserve">    </t>
  </si>
  <si>
    <t xml:space="preserve">   countries.  2023 shows a much lower average inflation rate of  4.83%, but again only 2 countries have data.  2024 has the most complete coverage, with 174  countries. </t>
  </si>
  <si>
    <t xml:space="preserve">   The average inflation rate was  7.46%, while the median was only  3.01%. This difference indicates some countries experienced exceptionally high inflation and  pulled the average upward.</t>
  </si>
  <si>
    <t xml:space="preserve">    In 2024, inflation ranged from -6.60% t0 219.88% showing substantial differences between countries. </t>
  </si>
  <si>
    <t xml:space="preserve">   moderated from its earlier peak in many economies, some countries continue to experience relatively high inflation due to energy and food price pressures, exchange</t>
  </si>
  <si>
    <t xml:space="preserve">  rate movements, and domestic economic conditions.This suggests that the impact of inflation on the cost of living differs substantially across countries.</t>
  </si>
  <si>
    <t xml:space="preserve">    However, countries should adopt a coordinated approach that combines effective monetary policy, fiscal discipline, increased domestic production, infrastrusture  development </t>
  </si>
  <si>
    <t xml:space="preserve">    and targeted social protection. This would help reduce inflation while limiting the negative impact of rising living costs on households.</t>
  </si>
  <si>
    <t>2.  Countries with the Highest and Lowest Inflation Rates</t>
  </si>
  <si>
    <t xml:space="preserve">     The World Bank's 2024 data independently reports Argentina at about 219.9%, South Sudan at 91.4%, and  Nigeria at 33.2% Notice that some countries have negative inflation. </t>
  </si>
  <si>
    <t xml:space="preserve">      </t>
  </si>
  <si>
    <t xml:space="preserve">    This is called deflation, meaning the overall price level decreased rather than increased  e.g. Afghanistan (-6.6%), St. Lucia  (-0.67%), Sri Lanka (-).43%). </t>
  </si>
  <si>
    <t xml:space="preserve">    In contrast, Argentina's  219.88% is an extreme inflation rate. The huge difference explains why the 2024 mean inflation (7.46%) is much higher than the median (3.01%)</t>
  </si>
  <si>
    <t xml:space="preserve">    Nigeria is particularly important in this analysis because it ranked 6th among the highest inflation countries, at 33.24%.  The world bank reports a very similar figure of 33.2%</t>
  </si>
  <si>
    <t xml:space="preserve">   Global inflation in 2024 was highly uneven. While the median country experienced approximately 3% inflation, extreme inflation in countries such as Argentina and South  Sudan </t>
  </si>
  <si>
    <t xml:space="preserve">   significantly increased the global average. However, countries with lowest inflation rates experience relatively stable prices, allowing households to maintain more predictable power</t>
  </si>
  <si>
    <t xml:space="preserve">   The analysis shows substantial differences in inflation rates across countries. The countries with the highest inflation are likely to face greater cost of living pressures, particular for </t>
  </si>
  <si>
    <t xml:space="preserve">  essential items as food, hosing, transportation and energy. countries with lower inflation generally have price stability, although a low inflation rate does not necessarily mean that the </t>
  </si>
  <si>
    <t xml:space="preserve">  country has a low cost of living - it only mean that prices are increasing slowly. the comparison indicates that inflation is an important factor influencing cost of living conditions,</t>
  </si>
  <si>
    <t xml:space="preserve"> but differences in income levels, exchange rates, government policies and existing price levels also affect how households experience the cost of living.</t>
  </si>
  <si>
    <t xml:space="preserve">   However, countries with high inflation should prioritise price stability, exchange rate stability, food production, fiscal discipline and targeted social protection, while countries with low </t>
  </si>
  <si>
    <t xml:space="preserve">    inflation should maintain policies that preserve price stability and sustainable economic growth.</t>
  </si>
  <si>
    <t>3.   Relationship between Inflation and Cost of Living</t>
  </si>
  <si>
    <t xml:space="preserve">         </t>
  </si>
  <si>
    <t xml:space="preserve">     The study recommends that policy makers should not focus solely on inflation when addressing the cost of living, as the correlation analyses indicate only a weak negative relationship</t>
  </si>
  <si>
    <t>4.   Countries that experienced the greatest increase in cost of living</t>
  </si>
  <si>
    <t xml:space="preserve">      The analysis of shows that Cayman Islands has 94.3% which is the highest cost of living index, followed by switzerland (82.3%) and Singapore (80.9%). This indicates significant </t>
  </si>
  <si>
    <t xml:space="preserve">       differences in living cost across countries. The dataset measures the level of cost of living, not changes overtime.  The analysis demonstrates substantial variation in the cost of </t>
  </si>
  <si>
    <t xml:space="preserve">      living across countries.  However, because the dataset contains cost of living index values rather than observation  for different years, tha analysis identifies countries with the highest cost</t>
  </si>
  <si>
    <t xml:space="preserve">      of living rather than measuring the actual increase in cost of living over time.  </t>
  </si>
  <si>
    <t xml:space="preserve">      social protection, stabilising their economies and protecting the pourchasing power of vulnerable households.</t>
  </si>
  <si>
    <t xml:space="preserve">     The analysis shows that Nigeria experienced  the highest inflation rate among the selected  countries, at 33.24% in 2024. This was substantially higher than Ghana's 22.85% and the  </t>
  </si>
  <si>
    <t xml:space="preserve">      rates recorded in Kenya (4.48%), South Africa (4.36%), the UK  (3.27%)and the US (2.95%). </t>
  </si>
  <si>
    <t xml:space="preserve">    Overall, the comparison indicates that Nigeria faces a much stronger inflationary challenge than the selected countries. This can contribute to higher living costs, reduced real income,</t>
  </si>
  <si>
    <t xml:space="preserve">    and increased difficulty for households to maintain their standard of living.</t>
  </si>
  <si>
    <t xml:space="preserve">     households purchasing power.</t>
  </si>
  <si>
    <t>6.      Inflation and Cost of Living Variation by Region</t>
  </si>
  <si>
    <t xml:space="preserve">5.   Nigeria Comparison with Other Selected Countries in Terms of Inflation </t>
  </si>
  <si>
    <t xml:space="preserve">     The analysis shows that inflation and cost of living vary across regions. Some regions record relatively high average inflation but do not necessarily have the highest cost of  </t>
  </si>
  <si>
    <t xml:space="preserve">     living index e.g. Sub - saharan Africa has 15.54% inflation rate with average cost of living index of 45.5% .  This indicates that a high current inflation does not automatically mean that  </t>
  </si>
  <si>
    <t xml:space="preserve">     a region has the highest overall cost of living.  Regional differences may be influenced by factors such as housing costs, food prices,  transportation costs, purchasing power and other</t>
  </si>
  <si>
    <t xml:space="preserve">     economic condition. </t>
  </si>
  <si>
    <t xml:space="preserve">   The regional analysis reveals a clear disprity  in inflation and cost of living conditions across the world, with Africa experiencing the greatest inflationary pressure and  Europe</t>
  </si>
  <si>
    <t xml:space="preserve">    generally experiencing low pressure. This highlights the need for region - specific economic and social policies rather than a one size fits all approach.</t>
  </si>
  <si>
    <t xml:space="preserve">     productivity, strenghthen supply chains and improve economic resilence.</t>
  </si>
  <si>
    <t xml:space="preserve">                                                                                     INTERPRETATION OF RESULTS</t>
  </si>
  <si>
    <r>
      <t xml:space="preserve">                                 </t>
    </r>
    <r>
      <rPr>
        <b/>
        <sz val="16"/>
        <color theme="0" tint="-4.9989318521683403E-2"/>
        <rFont val="Times New Roman"/>
        <family val="1"/>
      </rPr>
      <t xml:space="preserve"> EXECUTIVE SUMMARY</t>
    </r>
  </si>
  <si>
    <t>Purpose and Scope</t>
  </si>
  <si>
    <t xml:space="preserve">The study therefore provides a basis for understanding the economic challenges faced by different countries and for developong appropriate strategies to manage inflation and cost of </t>
  </si>
  <si>
    <t>living pressures.</t>
  </si>
  <si>
    <t>The purpose of the Global Inflation and Cost of Living Analysis is to examine how inflation rates and changes in the prices of goods and services affect the cost of living across 217</t>
  </si>
  <si>
    <t xml:space="preserve"> Correlation and regression analysis were used to ascertain the relationship between inflation rate and cost of living index while scatter plor was used to depicts the charts.</t>
  </si>
  <si>
    <t>households purchasing power and standard of living.The analysis covers multiple countries and geographical regions, using indicators such as inflation rate and cost of living measures.</t>
  </si>
  <si>
    <t>countries and 7 regions. Inflation measures the rate at which prices increase overtime where pivot tables and charts are used to depicts the trends, while changes in consumer prices can affect</t>
  </si>
  <si>
    <t xml:space="preserve">   The analysis indicates that inflation is a global but uneven phenomemon. The overall trend indicates significant variation in inflation rates across countries. Although inflation has generally     </t>
  </si>
  <si>
    <t>Key Findings</t>
  </si>
  <si>
    <t xml:space="preserve">       The countries with the highest cost of living increases in the dataset indicate the greatest deterioration in purchasing power and the strongest pressure on household budgets.</t>
  </si>
  <si>
    <t xml:space="preserve">    to maintain their standard of living.</t>
  </si>
  <si>
    <t xml:space="preserve"> 1. The analysis indicates that inflation is a global but uneven phenomemon, the overall trend indicates significant variation in inflation rates across countries which suggests that the impact of </t>
  </si>
  <si>
    <t xml:space="preserve">      inflation on the cost of living differs substantially across countries.</t>
  </si>
  <si>
    <t>2.  The countries with the highest inflation are likely to face greater cost of living pressures, particular for essential items as food, housing, transportation and energy while countries with lower</t>
  </si>
  <si>
    <t xml:space="preserve">     inflation generally have price stability, although a low inflation rate does not necessarily mean that the country has a low cost of living - it only mean that prices are increasing slowly. </t>
  </si>
  <si>
    <t xml:space="preserve">    of living. The result should be interpreted alongside other economic and structural factors.</t>
  </si>
  <si>
    <t>4. The countries with the highest cost of living increases in the dataset indicate the greatest deterioration in purchasing power and the strongest pressure on household budgets.</t>
  </si>
  <si>
    <t>3.  Inflation and cost of living are related, but the relationship is not necessarily positive or strong across countries. Therefore a country with high  inflation does   not automatically have the highest cost</t>
  </si>
  <si>
    <t>5. Nigeria faces a much stronger inflationary challenge than the some selected countries. This can contribute to higher living costs, reduced real income, and increased difficulty for households</t>
  </si>
  <si>
    <t>6. The regional analysis reveals a clear disprity  in inflation and cost of living conditions across the world, with Africa experiencing the greatest inflationary pressure and  Europe</t>
  </si>
  <si>
    <t>Recommendations</t>
  </si>
  <si>
    <t xml:space="preserve">      The study recommends that countries experiencing the greatest increase in cost of living should focus on controlling inflation, incresing domestic production, strenghtening </t>
  </si>
  <si>
    <t xml:space="preserve">     Nigeria should place greater emphasis on measures that improve orice stability, strenghten domestic production and supply chains, reduce exchange rate pressures and protect</t>
  </si>
  <si>
    <t xml:space="preserve">    The analysis suggests that regions with higher inflation require a stronger immediate measures to protect purchasing power, while all regions should pursue long term policies that increase</t>
  </si>
  <si>
    <t xml:space="preserve">   productivity, strenghthen supply chains and improve economic resilence.</t>
  </si>
  <si>
    <t xml:space="preserve"> 1.  Countries should adopt a coordinated approach that combines effective monetary policy, fiscal discipline, increased domestic production, infrastrusture  development </t>
  </si>
  <si>
    <t>2.  Countries with high inflation should prioritise price stability, exchange rate stability, food production, fiscal discipline and targeted social protection, while countries with low  inflation rate</t>
  </si>
  <si>
    <t xml:space="preserve">     should maintain  policies that preserve price stability and sustainable economic growth.</t>
  </si>
  <si>
    <t xml:space="preserve">3.  Policy makers should not focus solely on inflation when addressing the cost of living, as the correlation analyses indicate only a weak negative relationship between the two variables. </t>
  </si>
  <si>
    <t xml:space="preserve">     Other economic and social factors should be considered in future analyses to provide a more comprehensive understanding of the   factors influencing cost of living.</t>
  </si>
  <si>
    <t xml:space="preserve">4.  Countries experiencing the greatest increase in cost of living should focus on controlling inflation, incresing domestic production, strenghtening  social protection, stabilising </t>
  </si>
  <si>
    <t xml:space="preserve"> 5. Nigeria should place greater emphasis on measures that improve orice stability, strenghten domestic production and supply chains, reduce exchange rate pressures and protect</t>
  </si>
  <si>
    <t xml:space="preserve">     their economies and protecting the pourchasing power of vulnerable households.</t>
  </si>
  <si>
    <t>6.  Regions with higher inflation require a stronger immediate measures to protect purchasing power, while all regions should pursue long term policies that increase</t>
  </si>
  <si>
    <t>Correlation Analysis</t>
  </si>
  <si>
    <t>Variable 1</t>
  </si>
  <si>
    <t>Variable 2</t>
  </si>
  <si>
    <t>Pearson Correlation ( r)</t>
  </si>
  <si>
    <t xml:space="preserve">      Based on the dadaset, 43 properly matched  and within the 43 observations, there is a tendency for higher inflation rates to be associatesd with lower cost of living values, but </t>
  </si>
  <si>
    <t xml:space="preserve">     the relationship is weak. inflation rates in the dataset tend to have somewhat lower cost of lving index values, while countries with lower inflation rates tend to have higher cost </t>
  </si>
  <si>
    <t xml:space="preserve">      of living values. The correlation analysis produced a pearson correlation coefficient of -0.3212, indicating a weak negative relationship between inflation rate and cost of living.</t>
  </si>
  <si>
    <t xml:space="preserve">     The findings suggest that inflation alone does not provide a strong explanation for differences in cost of living in the datase.  Though inflation and cost of living are related, but the</t>
  </si>
  <si>
    <t xml:space="preserve">     relationship is not necessarily positive or strong across countries. Therefore a country with high  inflation does not automatically have the highest cost of living. </t>
  </si>
  <si>
    <t xml:space="preserve">     when developng strategies to manage cost of living pressures. </t>
  </si>
  <si>
    <t xml:space="preserve">     between the two variables. Other economic and social factors  including food prices, housing, energy costs, exchange rates, income level and transportation cost should be considered </t>
  </si>
  <si>
    <t>(Multiple Items)</t>
  </si>
  <si>
    <t>Correlation Coefficient ( r) = -0.3212 indicates a weak negative correlation between inflation rate and cost of living.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</si>
</sst>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name val="Calibri"/>
      <family val="2"/>
    </font>
    <font>
      <i/>
      <sz val="11"/>
      <color theme="1"/>
      <name val="Calibri"/>
      <family val="2"/>
      <scheme val="minor"/>
    </font>
    <font>
      <b/>
      <sz val="11"/>
      <color theme="1"/>
      <name val="Arial Black"/>
      <family val="2"/>
    </font>
    <font>
      <sz val="11"/>
      <color theme="1"/>
      <name val="Arial Black"/>
      <family val="2"/>
    </font>
    <font>
      <b/>
      <sz val="14"/>
      <color theme="1"/>
      <name val="Times New Roman"/>
      <family val="1"/>
    </font>
    <font>
      <b/>
      <sz val="12"/>
      <color theme="1"/>
      <name val="Times New Roman"/>
      <family val="1"/>
    </font>
    <font>
      <sz val="12"/>
      <color theme="1"/>
      <name val="Times New Roman"/>
      <family val="1"/>
    </font>
    <font>
      <sz val="12"/>
      <color rgb="FF595959"/>
      <name val="Arial Black"/>
      <family val="2"/>
    </font>
    <font>
      <b/>
      <shadow/>
      <sz val="14"/>
      <color theme="1"/>
      <name val="Times New Roman"/>
      <family val="1"/>
    </font>
    <font>
      <sz val="12"/>
      <color rgb="FF000000"/>
      <name val="Times New Roman"/>
      <family val="1"/>
    </font>
    <font>
      <b/>
      <sz val="14"/>
      <color theme="1"/>
      <name val="Arial Black"/>
      <family val="2"/>
    </font>
    <font>
      <b/>
      <sz val="12"/>
      <color rgb="FF595959"/>
      <name val="Times New Roman"/>
      <family val="1"/>
    </font>
    <font>
      <b/>
      <sz val="14"/>
      <color rgb="FF000000"/>
      <name val="Times New Roman"/>
      <family val="1"/>
    </font>
    <font>
      <b/>
      <i/>
      <sz val="12"/>
      <color theme="1"/>
      <name val="Times New Roman"/>
      <family val="1"/>
    </font>
    <font>
      <b/>
      <sz val="12"/>
      <color rgb="FF000000"/>
      <name val="Times New Roman"/>
      <family val="1"/>
    </font>
    <font>
      <b/>
      <sz val="16"/>
      <color theme="1"/>
      <name val="Times New Roman"/>
      <family val="1"/>
    </font>
    <font>
      <b/>
      <sz val="16"/>
      <color theme="0" tint="-4.9989318521683403E-2"/>
      <name val="Times New Roman"/>
      <family val="1"/>
    </font>
    <font>
      <sz val="11"/>
      <color theme="1"/>
      <name val="Times New Roman"/>
      <family val="1"/>
    </font>
    <font>
      <b/>
      <sz val="11"/>
      <color theme="1"/>
      <name val="Times New Roman"/>
      <family val="1"/>
    </font>
  </fonts>
  <fills count="9">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2" fillId="0" borderId="2" xfId="0" applyFont="1" applyBorder="1" applyAlignment="1">
      <alignment horizontal="center" vertical="top"/>
    </xf>
    <xf numFmtId="0" fontId="0" fillId="0" borderId="1" xfId="0" applyBorder="1"/>
    <xf numFmtId="0" fontId="0" fillId="0" borderId="0" xfId="0" pivotButton="1"/>
    <xf numFmtId="0" fontId="0" fillId="0" borderId="0" xfId="0" applyAlignment="1">
      <alignment horizontal="left"/>
    </xf>
    <xf numFmtId="0" fontId="1" fillId="0" borderId="0" xfId="0" applyFont="1"/>
    <xf numFmtId="0" fontId="0" fillId="0" borderId="3" xfId="0" applyBorder="1"/>
    <xf numFmtId="0" fontId="3" fillId="0" borderId="4" xfId="0" applyFont="1" applyBorder="1" applyAlignment="1">
      <alignment horizontal="center"/>
    </xf>
    <xf numFmtId="0" fontId="4" fillId="0" borderId="0" xfId="0" applyFont="1"/>
    <xf numFmtId="0" fontId="5" fillId="0" borderId="0" xfId="0" applyFont="1"/>
    <xf numFmtId="0" fontId="7" fillId="0" borderId="0" xfId="0" applyFont="1"/>
    <xf numFmtId="0" fontId="8" fillId="0" borderId="0" xfId="0" applyFont="1"/>
    <xf numFmtId="0" fontId="0" fillId="0" borderId="5" xfId="0" applyBorder="1"/>
    <xf numFmtId="0" fontId="0" fillId="0" borderId="2"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0" fontId="0" fillId="0" borderId="0" xfId="0" applyNumberFormat="1"/>
    <xf numFmtId="0" fontId="9" fillId="0" borderId="0" xfId="0" applyFont="1" applyAlignment="1">
      <alignment horizontal="center" vertical="center" readingOrder="1"/>
    </xf>
    <xf numFmtId="0" fontId="11" fillId="0" borderId="0" xfId="0" applyFont="1" applyAlignment="1">
      <alignment horizontal="left" vertical="center"/>
    </xf>
    <xf numFmtId="0" fontId="6" fillId="2" borderId="0" xfId="0" applyFont="1" applyFill="1"/>
    <xf numFmtId="0" fontId="10" fillId="2" borderId="0" xfId="0" applyFont="1" applyFill="1"/>
    <xf numFmtId="0" fontId="0" fillId="2" borderId="0" xfId="0" applyFill="1"/>
    <xf numFmtId="0" fontId="0" fillId="3" borderId="0" xfId="0" applyFill="1"/>
    <xf numFmtId="0" fontId="7" fillId="3" borderId="0" xfId="0" applyFont="1" applyFill="1"/>
    <xf numFmtId="0" fontId="1" fillId="3" borderId="0" xfId="0" applyFont="1" applyFill="1"/>
    <xf numFmtId="0" fontId="12" fillId="0" borderId="0" xfId="0" applyFont="1"/>
    <xf numFmtId="0" fontId="7" fillId="4" borderId="0" xfId="0" applyFont="1" applyFill="1"/>
    <xf numFmtId="0" fontId="0" fillId="4" borderId="0" xfId="0" applyFill="1"/>
    <xf numFmtId="0" fontId="13" fillId="0" borderId="0" xfId="0" applyFont="1" applyAlignment="1">
      <alignment horizontal="center" vertical="center" readingOrder="1"/>
    </xf>
    <xf numFmtId="0" fontId="0" fillId="5" borderId="0" xfId="0" applyFill="1"/>
    <xf numFmtId="0" fontId="0" fillId="6" borderId="0" xfId="0" applyFill="1"/>
    <xf numFmtId="0" fontId="15" fillId="6" borderId="0" xfId="0" applyFont="1" applyFill="1"/>
    <xf numFmtId="0" fontId="16" fillId="6" borderId="0" xfId="0" applyFont="1" applyFill="1"/>
    <xf numFmtId="0" fontId="11" fillId="0" borderId="0" xfId="0" applyFont="1"/>
    <xf numFmtId="0" fontId="14" fillId="5" borderId="0" xfId="0" applyFont="1" applyFill="1" applyAlignment="1">
      <alignment horizontal="center"/>
    </xf>
    <xf numFmtId="0" fontId="0" fillId="7" borderId="0" xfId="0" applyFill="1"/>
    <xf numFmtId="0" fontId="17" fillId="7" borderId="0" xfId="0" applyFont="1" applyFill="1"/>
    <xf numFmtId="0" fontId="6" fillId="5" borderId="0" xfId="0" applyFont="1" applyFill="1"/>
    <xf numFmtId="0" fontId="6" fillId="8" borderId="0" xfId="0" applyFont="1" applyFill="1"/>
    <xf numFmtId="0" fontId="0" fillId="8" borderId="0" xfId="0" applyFill="1"/>
    <xf numFmtId="0" fontId="19" fillId="0" borderId="0" xfId="0" applyFont="1"/>
    <xf numFmtId="0" fontId="20" fillId="0" borderId="0" xfId="0" applyFont="1"/>
    <xf numFmtId="0" fontId="0" fillId="0" borderId="0" xfId="0" applyNumberFormat="1"/>
  </cellXfs>
  <cellStyles count="1">
    <cellStyle name="Normal" xfId="0" builtinId="0"/>
  </cellStyles>
  <dxfs count="103">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780877390326207E-2"/>
          <c:y val="0.15917403917187697"/>
          <c:w val="0.76926056242969632"/>
          <c:h val="0.66243788176363538"/>
        </c:manualLayout>
      </c:layout>
      <c:line3DChart>
        <c:grouping val="standard"/>
        <c:varyColors val="0"/>
        <c:ser>
          <c:idx val="0"/>
          <c:order val="0"/>
          <c:tx>
            <c:strRef>
              <c:f>'Pivot Analysis'!$B$4</c:f>
              <c:strCache>
                <c:ptCount val="1"/>
                <c:pt idx="0">
                  <c:v>Total</c:v>
                </c:pt>
              </c:strCache>
            </c:strRef>
          </c:tx>
          <c:spPr>
            <a:solidFill>
              <a:schemeClr val="accent1"/>
            </a:solidFill>
            <a:ln>
              <a:noFill/>
            </a:ln>
            <a:effectLst/>
            <a:sp3d/>
          </c:spPr>
          <c:cat>
            <c:strRef>
              <c:f>'Pivot Analysis'!$A$5:$A$8</c:f>
              <c:strCache>
                <c:ptCount val="3"/>
                <c:pt idx="0">
                  <c:v>2022</c:v>
                </c:pt>
                <c:pt idx="1">
                  <c:v>2023</c:v>
                </c:pt>
                <c:pt idx="2">
                  <c:v>2024</c:v>
                </c:pt>
              </c:strCache>
            </c:strRef>
          </c:cat>
          <c:val>
            <c:numRef>
              <c:f>'Pivot Analysis'!$B$5:$B$8</c:f>
              <c:numCache>
                <c:formatCode>General</c:formatCode>
                <c:ptCount val="3"/>
                <c:pt idx="0">
                  <c:v>82.974124875072562</c:v>
                </c:pt>
                <c:pt idx="1">
                  <c:v>4.8315067184826148</c:v>
                </c:pt>
                <c:pt idx="2">
                  <c:v>7.4640096995203757</c:v>
                </c:pt>
              </c:numCache>
            </c:numRef>
          </c:val>
          <c:smooth val="0"/>
          <c:extLst>
            <c:ext xmlns:c16="http://schemas.microsoft.com/office/drawing/2014/chart" uri="{C3380CC4-5D6E-409C-BE32-E72D297353CC}">
              <c16:uniqueId val="{00000000-7AFF-433B-AE04-28953FA79B7B}"/>
            </c:ext>
          </c:extLst>
        </c:ser>
        <c:dLbls>
          <c:showLegendKey val="0"/>
          <c:showVal val="0"/>
          <c:showCatName val="0"/>
          <c:showSerName val="0"/>
          <c:showPercent val="0"/>
          <c:showBubbleSize val="0"/>
        </c:dLbls>
        <c:axId val="684880096"/>
        <c:axId val="684895936"/>
        <c:axId val="480594192"/>
      </c:line3DChart>
      <c:catAx>
        <c:axId val="684880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95936"/>
        <c:crosses val="autoZero"/>
        <c:auto val="1"/>
        <c:lblAlgn val="ctr"/>
        <c:lblOffset val="100"/>
        <c:noMultiLvlLbl val="0"/>
      </c:catAx>
      <c:valAx>
        <c:axId val="68489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80096"/>
        <c:crosses val="autoZero"/>
        <c:crossBetween val="between"/>
      </c:valAx>
      <c:serAx>
        <c:axId val="4805941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959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[Adekoya Olabisi.xlsx]Pivot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050" b="1">
                <a:latin typeface="Arial Black" panose="020B0A04020102020204" pitchFamily="34" charset="0"/>
              </a:rPr>
              <a:t>Top 10 Countries with Highest Inflation Rate</a:t>
            </a:r>
          </a:p>
        </c:rich>
      </c:tx>
      <c:layout>
        <c:manualLayout>
          <c:xMode val="edge"/>
          <c:yMode val="edge"/>
          <c:x val="0.28397528321318227"/>
          <c:y val="8.5921551472732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55182172774231"/>
          <c:y val="0.19744932925051034"/>
          <c:w val="0.57338598895529413"/>
          <c:h val="0.69515128317293673"/>
        </c:manualLayout>
      </c:layout>
      <c:barChart>
        <c:barDir val="bar"/>
        <c:grouping val="clustered"/>
        <c:varyColors val="0"/>
        <c:ser>
          <c:idx val="0"/>
          <c:order val="0"/>
          <c:tx>
            <c:strRef>
              <c:f>'Pivot Analysis'!$B$29</c:f>
              <c:strCache>
                <c:ptCount val="1"/>
                <c:pt idx="0">
                  <c:v>Total</c:v>
                </c:pt>
              </c:strCache>
            </c:strRef>
          </c:tx>
          <c:spPr>
            <a:solidFill>
              <a:schemeClr val="accent3"/>
            </a:solidFill>
            <a:ln>
              <a:noFill/>
            </a:ln>
            <a:effectLst/>
          </c:spPr>
          <c:invertIfNegative val="0"/>
          <c:cat>
            <c:strRef>
              <c:f>'Pivot Analysis'!$A$30:$A$40</c:f>
              <c:strCache>
                <c:ptCount val="10"/>
                <c:pt idx="0">
                  <c:v>Argentina</c:v>
                </c:pt>
                <c:pt idx="1">
                  <c:v>Iran, Islamic Rep.</c:v>
                </c:pt>
                <c:pt idx="2">
                  <c:v>Lebanon</c:v>
                </c:pt>
                <c:pt idx="3">
                  <c:v>Malawi</c:v>
                </c:pt>
                <c:pt idx="4">
                  <c:v>Nigeria</c:v>
                </c:pt>
                <c:pt idx="5">
                  <c:v>South Sudan</c:v>
                </c:pt>
                <c:pt idx="6">
                  <c:v>Sudan</c:v>
                </c:pt>
                <c:pt idx="7">
                  <c:v>Turkiye</c:v>
                </c:pt>
                <c:pt idx="8">
                  <c:v>West Bank and Gaza</c:v>
                </c:pt>
                <c:pt idx="9">
                  <c:v>Zimbabwe</c:v>
                </c:pt>
              </c:strCache>
            </c:strRef>
          </c:cat>
          <c:val>
            <c:numRef>
              <c:f>'Pivot Analysis'!$B$30:$B$40</c:f>
              <c:numCache>
                <c:formatCode>General</c:formatCode>
                <c:ptCount val="10"/>
                <c:pt idx="0">
                  <c:v>219.883929014578</c:v>
                </c:pt>
                <c:pt idx="1">
                  <c:v>32.455871402916998</c:v>
                </c:pt>
                <c:pt idx="2">
                  <c:v>45.243042271671797</c:v>
                </c:pt>
                <c:pt idx="3">
                  <c:v>32.179650422502498</c:v>
                </c:pt>
                <c:pt idx="4">
                  <c:v>33.241659055274901</c:v>
                </c:pt>
                <c:pt idx="5">
                  <c:v>91.440822076904595</c:v>
                </c:pt>
                <c:pt idx="6">
                  <c:v>138.80846024176</c:v>
                </c:pt>
                <c:pt idx="7">
                  <c:v>58.506450730034203</c:v>
                </c:pt>
                <c:pt idx="8">
                  <c:v>53.669145830378199</c:v>
                </c:pt>
                <c:pt idx="9">
                  <c:v>104.70517062866701</c:v>
                </c:pt>
              </c:numCache>
            </c:numRef>
          </c:val>
          <c:extLst>
            <c:ext xmlns:c16="http://schemas.microsoft.com/office/drawing/2014/chart" uri="{C3380CC4-5D6E-409C-BE32-E72D297353CC}">
              <c16:uniqueId val="{00000000-5A76-45A4-9D0C-9A530BA3795B}"/>
            </c:ext>
          </c:extLst>
        </c:ser>
        <c:dLbls>
          <c:showLegendKey val="0"/>
          <c:showVal val="0"/>
          <c:showCatName val="0"/>
          <c:showSerName val="0"/>
          <c:showPercent val="0"/>
          <c:showBubbleSize val="0"/>
        </c:dLbls>
        <c:gapWidth val="182"/>
        <c:axId val="524428160"/>
        <c:axId val="524401760"/>
      </c:barChart>
      <c:catAx>
        <c:axId val="52442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01760"/>
        <c:crosses val="autoZero"/>
        <c:auto val="1"/>
        <c:lblAlgn val="ctr"/>
        <c:lblOffset val="100"/>
        <c:noMultiLvlLbl val="0"/>
      </c:catAx>
      <c:valAx>
        <c:axId val="52440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2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14002124605691"/>
          <c:y val="0.21164871490120338"/>
          <c:w val="0.73719016842771068"/>
          <c:h val="0.67892549398306345"/>
        </c:manualLayout>
      </c:layout>
      <c:barChart>
        <c:barDir val="bar"/>
        <c:grouping val="clustered"/>
        <c:varyColors val="0"/>
        <c:ser>
          <c:idx val="0"/>
          <c:order val="0"/>
          <c:tx>
            <c:strRef>
              <c:f>'Pivot Analysis'!$B$45</c:f>
              <c:strCache>
                <c:ptCount val="1"/>
                <c:pt idx="0">
                  <c:v>Total</c:v>
                </c:pt>
              </c:strCache>
            </c:strRef>
          </c:tx>
          <c:spPr>
            <a:solidFill>
              <a:schemeClr val="accent1"/>
            </a:solidFill>
            <a:ln>
              <a:noFill/>
            </a:ln>
            <a:effectLst/>
          </c:spPr>
          <c:invertIfNegative val="0"/>
          <c:cat>
            <c:strRef>
              <c:f>'Pivot Analysis'!$A$46:$A$56</c:f>
              <c:strCache>
                <c:ptCount val="10"/>
                <c:pt idx="0">
                  <c:v>Afghanistan</c:v>
                </c:pt>
                <c:pt idx="1">
                  <c:v>Armenia</c:v>
                </c:pt>
                <c:pt idx="2">
                  <c:v>Bahamas, The</c:v>
                </c:pt>
                <c:pt idx="3">
                  <c:v>Brunei Darussalam</c:v>
                </c:pt>
                <c:pt idx="4">
                  <c:v>China</c:v>
                </c:pt>
                <c:pt idx="5">
                  <c:v>Costa Rica</c:v>
                </c:pt>
                <c:pt idx="6">
                  <c:v>Seychelles</c:v>
                </c:pt>
                <c:pt idx="7">
                  <c:v>Sri Lanka</c:v>
                </c:pt>
                <c:pt idx="8">
                  <c:v>St. Lucia</c:v>
                </c:pt>
                <c:pt idx="9">
                  <c:v>Thailand</c:v>
                </c:pt>
              </c:strCache>
            </c:strRef>
          </c:cat>
          <c:val>
            <c:numRef>
              <c:f>'Pivot Analysis'!$B$46:$B$56</c:f>
              <c:numCache>
                <c:formatCode>General</c:formatCode>
                <c:ptCount val="10"/>
                <c:pt idx="0">
                  <c:v>-6.6011856407372598</c:v>
                </c:pt>
                <c:pt idx="1">
                  <c:v>0.26951197825912498</c:v>
                </c:pt>
                <c:pt idx="2">
                  <c:v>0.40916248908328601</c:v>
                </c:pt>
                <c:pt idx="3">
                  <c:v>-0.38867416503646102</c:v>
                </c:pt>
                <c:pt idx="4">
                  <c:v>0.21812893843917699</c:v>
                </c:pt>
                <c:pt idx="5">
                  <c:v>-0.41285300104706901</c:v>
                </c:pt>
                <c:pt idx="6">
                  <c:v>0.31172605091966799</c:v>
                </c:pt>
                <c:pt idx="7">
                  <c:v>-0.42936004906973002</c:v>
                </c:pt>
                <c:pt idx="8">
                  <c:v>-0.67424085341877904</c:v>
                </c:pt>
                <c:pt idx="9">
                  <c:v>0.39833333333342202</c:v>
                </c:pt>
              </c:numCache>
            </c:numRef>
          </c:val>
          <c:extLst>
            <c:ext xmlns:c16="http://schemas.microsoft.com/office/drawing/2014/chart" uri="{C3380CC4-5D6E-409C-BE32-E72D297353CC}">
              <c16:uniqueId val="{00000000-573C-4B6C-9E6D-A95D0D88C0B3}"/>
            </c:ext>
          </c:extLst>
        </c:ser>
        <c:dLbls>
          <c:showLegendKey val="0"/>
          <c:showVal val="0"/>
          <c:showCatName val="0"/>
          <c:showSerName val="0"/>
          <c:showPercent val="0"/>
          <c:showBubbleSize val="0"/>
        </c:dLbls>
        <c:gapWidth val="182"/>
        <c:axId val="1889191487"/>
        <c:axId val="1889198687"/>
      </c:barChart>
      <c:catAx>
        <c:axId val="188919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98687"/>
        <c:crosses val="autoZero"/>
        <c:auto val="1"/>
        <c:lblAlgn val="ctr"/>
        <c:lblOffset val="100"/>
        <c:noMultiLvlLbl val="0"/>
      </c:catAx>
      <c:valAx>
        <c:axId val="188919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2902559055118107"/>
          <c:w val="0.77378937007874016"/>
          <c:h val="0.54506270049577132"/>
        </c:manualLayout>
      </c:layout>
      <c:barChart>
        <c:barDir val="col"/>
        <c:grouping val="stacked"/>
        <c:varyColors val="0"/>
        <c:ser>
          <c:idx val="0"/>
          <c:order val="0"/>
          <c:tx>
            <c:strRef>
              <c:f>'Pivot Analysis'!$B$67</c:f>
              <c:strCache>
                <c:ptCount val="1"/>
                <c:pt idx="0">
                  <c:v>Total</c:v>
                </c:pt>
              </c:strCache>
            </c:strRef>
          </c:tx>
          <c:spPr>
            <a:solidFill>
              <a:schemeClr val="accent1"/>
            </a:solidFill>
            <a:ln>
              <a:noFill/>
            </a:ln>
            <a:effectLst/>
          </c:spPr>
          <c:invertIfNegative val="0"/>
          <c:cat>
            <c:strRef>
              <c:f>'Pivot Analysis'!$A$68:$A$78</c:f>
              <c:strCache>
                <c:ptCount val="10"/>
                <c:pt idx="0">
                  <c:v>Australia</c:v>
                </c:pt>
                <c:pt idx="1">
                  <c:v>Barbados</c:v>
                </c:pt>
                <c:pt idx="2">
                  <c:v>Denmark</c:v>
                </c:pt>
                <c:pt idx="3">
                  <c:v>Iceland</c:v>
                </c:pt>
                <c:pt idx="4">
                  <c:v>Norway</c:v>
                </c:pt>
                <c:pt idx="5">
                  <c:v>Qatar</c:v>
                </c:pt>
                <c:pt idx="6">
                  <c:v>Singapore</c:v>
                </c:pt>
                <c:pt idx="7">
                  <c:v>Switzerland</c:v>
                </c:pt>
                <c:pt idx="8">
                  <c:v>United Arab Emirates</c:v>
                </c:pt>
                <c:pt idx="9">
                  <c:v>United States</c:v>
                </c:pt>
              </c:strCache>
            </c:strRef>
          </c:cat>
          <c:val>
            <c:numRef>
              <c:f>'Pivot Analysis'!$B$68:$B$78</c:f>
              <c:numCache>
                <c:formatCode>General</c:formatCode>
                <c:ptCount val="10"/>
                <c:pt idx="0">
                  <c:v>69.5</c:v>
                </c:pt>
                <c:pt idx="1">
                  <c:v>75.2</c:v>
                </c:pt>
                <c:pt idx="2">
                  <c:v>72.099999999999994</c:v>
                </c:pt>
                <c:pt idx="3">
                  <c:v>78.2</c:v>
                </c:pt>
                <c:pt idx="4">
                  <c:v>73.8</c:v>
                </c:pt>
                <c:pt idx="5">
                  <c:v>70.8</c:v>
                </c:pt>
                <c:pt idx="6">
                  <c:v>80.900000000000006</c:v>
                </c:pt>
                <c:pt idx="7">
                  <c:v>82.3</c:v>
                </c:pt>
                <c:pt idx="8">
                  <c:v>72.400000000000006</c:v>
                </c:pt>
                <c:pt idx="9">
                  <c:v>74.3</c:v>
                </c:pt>
              </c:numCache>
            </c:numRef>
          </c:val>
          <c:extLst>
            <c:ext xmlns:c16="http://schemas.microsoft.com/office/drawing/2014/chart" uri="{C3380CC4-5D6E-409C-BE32-E72D297353CC}">
              <c16:uniqueId val="{00000000-CACB-4C19-9FFA-8B8E1375C3A6}"/>
            </c:ext>
          </c:extLst>
        </c:ser>
        <c:dLbls>
          <c:showLegendKey val="0"/>
          <c:showVal val="0"/>
          <c:showCatName val="0"/>
          <c:showSerName val="0"/>
          <c:showPercent val="0"/>
          <c:showBubbleSize val="0"/>
        </c:dLbls>
        <c:gapWidth val="150"/>
        <c:overlap val="100"/>
        <c:axId val="2003091039"/>
        <c:axId val="2003083359"/>
      </c:barChart>
      <c:catAx>
        <c:axId val="20030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3359"/>
        <c:crosses val="autoZero"/>
        <c:auto val="1"/>
        <c:lblAlgn val="ctr"/>
        <c:lblOffset val="100"/>
        <c:noMultiLvlLbl val="0"/>
      </c:catAx>
      <c:valAx>
        <c:axId val="200308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9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Analysis'!$A$93:$A$98</c:f>
              <c:strCache>
                <c:ptCount val="5"/>
                <c:pt idx="0">
                  <c:v>Kenya</c:v>
                </c:pt>
                <c:pt idx="1">
                  <c:v>Nigeria</c:v>
                </c:pt>
                <c:pt idx="2">
                  <c:v>South Africa</c:v>
                </c:pt>
                <c:pt idx="3">
                  <c:v>United Kingdom</c:v>
                </c:pt>
                <c:pt idx="4">
                  <c:v>United States</c:v>
                </c:pt>
              </c:strCache>
            </c:strRef>
          </c:cat>
          <c:val>
            <c:numRef>
              <c:f>'Pivot Analysis'!$B$93:$B$98</c:f>
              <c:numCache>
                <c:formatCode>General</c:formatCode>
                <c:ptCount val="5"/>
                <c:pt idx="0">
                  <c:v>4.4897885424344803</c:v>
                </c:pt>
                <c:pt idx="1">
                  <c:v>33.241659055274901</c:v>
                </c:pt>
                <c:pt idx="2">
                  <c:v>4.3611524651896199</c:v>
                </c:pt>
                <c:pt idx="3">
                  <c:v>3.2715729463591998</c:v>
                </c:pt>
                <c:pt idx="4">
                  <c:v>2.9495252048520699</c:v>
                </c:pt>
              </c:numCache>
            </c:numRef>
          </c:val>
          <c:extLst>
            <c:ext xmlns:c16="http://schemas.microsoft.com/office/drawing/2014/chart" uri="{C3380CC4-5D6E-409C-BE32-E72D297353CC}">
              <c16:uniqueId val="{00000000-062D-4FAB-8C99-565636BFCF54}"/>
            </c:ext>
          </c:extLst>
        </c:ser>
        <c:dLbls>
          <c:dLblPos val="outEnd"/>
          <c:showLegendKey val="0"/>
          <c:showVal val="1"/>
          <c:showCatName val="0"/>
          <c:showSerName val="0"/>
          <c:showPercent val="0"/>
          <c:showBubbleSize val="0"/>
        </c:dLbls>
        <c:gapWidth val="219"/>
        <c:overlap val="-27"/>
        <c:axId val="2003089599"/>
        <c:axId val="2003081439"/>
      </c:barChart>
      <c:catAx>
        <c:axId val="2003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1439"/>
        <c:crosses val="autoZero"/>
        <c:auto val="1"/>
        <c:lblAlgn val="ctr"/>
        <c:lblOffset val="100"/>
        <c:noMultiLvlLbl val="0"/>
      </c:catAx>
      <c:valAx>
        <c:axId val="200308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1670614863763E-2"/>
          <c:y val="9.450037141583717E-2"/>
          <c:w val="0.59807106104311214"/>
          <c:h val="0.58298856039221514"/>
        </c:manualLayout>
      </c:layout>
      <c:barChart>
        <c:barDir val="col"/>
        <c:grouping val="clustered"/>
        <c:varyColors val="0"/>
        <c:ser>
          <c:idx val="0"/>
          <c:order val="0"/>
          <c:tx>
            <c:strRef>
              <c:f>'Pivot Analysis'!$B$116</c:f>
              <c:strCache>
                <c:ptCount val="1"/>
                <c:pt idx="0">
                  <c:v>Average  Inflation Rate (%)</c:v>
                </c:pt>
              </c:strCache>
            </c:strRef>
          </c:tx>
          <c:spPr>
            <a:solidFill>
              <a:schemeClr val="accent1"/>
            </a:solidFill>
            <a:ln>
              <a:noFill/>
            </a:ln>
            <a:effectLst/>
          </c:spPr>
          <c:invertIfNegative val="0"/>
          <c:cat>
            <c:strRef>
              <c:f>'Pivot Analysis'!$A$117:$A$124</c:f>
              <c:strCache>
                <c:ptCount val="7"/>
                <c:pt idx="0">
                  <c:v>East Asia &amp; Pacific</c:v>
                </c:pt>
                <c:pt idx="1">
                  <c:v>Europe &amp; Central Asia</c:v>
                </c:pt>
                <c:pt idx="2">
                  <c:v>Latin America &amp; Caribbean </c:v>
                </c:pt>
                <c:pt idx="3">
                  <c:v>Middle East, North Africa, Afghanistan &amp; Pakistan</c:v>
                </c:pt>
                <c:pt idx="4">
                  <c:v>North America</c:v>
                </c:pt>
                <c:pt idx="5">
                  <c:v>South Asia</c:v>
                </c:pt>
                <c:pt idx="6">
                  <c:v>Sub-Saharan Africa </c:v>
                </c:pt>
              </c:strCache>
            </c:strRef>
          </c:cat>
          <c:val>
            <c:numRef>
              <c:f>'Pivot Analysis'!$B$117:$B$124</c:f>
              <c:numCache>
                <c:formatCode>General</c:formatCode>
                <c:ptCount val="7"/>
                <c:pt idx="0">
                  <c:v>3.1343173497748973</c:v>
                </c:pt>
                <c:pt idx="1">
                  <c:v>4.4257151548708027</c:v>
                </c:pt>
                <c:pt idx="2">
                  <c:v>11.208233742428629</c:v>
                </c:pt>
                <c:pt idx="3">
                  <c:v>9.5271644417400836</c:v>
                </c:pt>
                <c:pt idx="4">
                  <c:v>2.6655545188318999</c:v>
                </c:pt>
                <c:pt idx="5">
                  <c:v>3.9744618758346832</c:v>
                </c:pt>
                <c:pt idx="6">
                  <c:v>15.535422734466062</c:v>
                </c:pt>
              </c:numCache>
            </c:numRef>
          </c:val>
          <c:extLst>
            <c:ext xmlns:c16="http://schemas.microsoft.com/office/drawing/2014/chart" uri="{C3380CC4-5D6E-409C-BE32-E72D297353CC}">
              <c16:uniqueId val="{00000000-9B50-4DCD-A175-C945F69A6B60}"/>
            </c:ext>
          </c:extLst>
        </c:ser>
        <c:dLbls>
          <c:showLegendKey val="0"/>
          <c:showVal val="0"/>
          <c:showCatName val="0"/>
          <c:showSerName val="0"/>
          <c:showPercent val="0"/>
          <c:showBubbleSize val="0"/>
        </c:dLbls>
        <c:gapWidth val="219"/>
        <c:overlap val="-27"/>
        <c:axId val="805310799"/>
        <c:axId val="805348719"/>
      </c:barChart>
      <c:lineChart>
        <c:grouping val="standard"/>
        <c:varyColors val="0"/>
        <c:ser>
          <c:idx val="1"/>
          <c:order val="1"/>
          <c:tx>
            <c:strRef>
              <c:f>'Pivot Analysis'!$C$116</c:f>
              <c:strCache>
                <c:ptCount val="1"/>
                <c:pt idx="0">
                  <c:v>Average of Cost of Living </c:v>
                </c:pt>
              </c:strCache>
            </c:strRef>
          </c:tx>
          <c:spPr>
            <a:ln w="28575" cap="rnd">
              <a:solidFill>
                <a:schemeClr val="accent2"/>
              </a:solidFill>
              <a:round/>
            </a:ln>
            <a:effectLst/>
          </c:spPr>
          <c:marker>
            <c:symbol val="none"/>
          </c:marker>
          <c:cat>
            <c:strRef>
              <c:f>'Pivot Analysis'!$A$117:$A$124</c:f>
              <c:strCache>
                <c:ptCount val="7"/>
                <c:pt idx="0">
                  <c:v>East Asia &amp; Pacific</c:v>
                </c:pt>
                <c:pt idx="1">
                  <c:v>Europe &amp; Central Asia</c:v>
                </c:pt>
                <c:pt idx="2">
                  <c:v>Latin America &amp; Caribbean </c:v>
                </c:pt>
                <c:pt idx="3">
                  <c:v>Middle East, North Africa, Afghanistan &amp; Pakistan</c:v>
                </c:pt>
                <c:pt idx="4">
                  <c:v>North America</c:v>
                </c:pt>
                <c:pt idx="5">
                  <c:v>South Asia</c:v>
                </c:pt>
                <c:pt idx="6">
                  <c:v>Sub-Saharan Africa </c:v>
                </c:pt>
              </c:strCache>
            </c:strRef>
          </c:cat>
          <c:val>
            <c:numRef>
              <c:f>'Pivot Analysis'!$C$117:$C$124</c:f>
              <c:numCache>
                <c:formatCode>General</c:formatCode>
                <c:ptCount val="7"/>
                <c:pt idx="0">
                  <c:v>57.509090909090901</c:v>
                </c:pt>
                <c:pt idx="1">
                  <c:v>66.646153846153851</c:v>
                </c:pt>
                <c:pt idx="2">
                  <c:v>59.79999999999999</c:v>
                </c:pt>
                <c:pt idx="3">
                  <c:v>61.287500000000001</c:v>
                </c:pt>
                <c:pt idx="4">
                  <c:v>69.849999999999994</c:v>
                </c:pt>
                <c:pt idx="5">
                  <c:v>48.325000000000003</c:v>
                </c:pt>
                <c:pt idx="6">
                  <c:v>45.5</c:v>
                </c:pt>
              </c:numCache>
            </c:numRef>
          </c:val>
          <c:smooth val="0"/>
          <c:extLst>
            <c:ext xmlns:c16="http://schemas.microsoft.com/office/drawing/2014/chart" uri="{C3380CC4-5D6E-409C-BE32-E72D297353CC}">
              <c16:uniqueId val="{00000001-9B50-4DCD-A175-C945F69A6B60}"/>
            </c:ext>
          </c:extLst>
        </c:ser>
        <c:dLbls>
          <c:showLegendKey val="0"/>
          <c:showVal val="0"/>
          <c:showCatName val="0"/>
          <c:showSerName val="0"/>
          <c:showPercent val="0"/>
          <c:showBubbleSize val="0"/>
        </c:dLbls>
        <c:marker val="1"/>
        <c:smooth val="0"/>
        <c:axId val="660925039"/>
        <c:axId val="660937999"/>
      </c:lineChart>
      <c:catAx>
        <c:axId val="8053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348719"/>
        <c:crosses val="autoZero"/>
        <c:auto val="1"/>
        <c:lblAlgn val="ctr"/>
        <c:lblOffset val="100"/>
        <c:noMultiLvlLbl val="0"/>
      </c:catAx>
      <c:valAx>
        <c:axId val="80534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310799"/>
        <c:crosses val="autoZero"/>
        <c:crossBetween val="between"/>
      </c:valAx>
      <c:valAx>
        <c:axId val="660937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925039"/>
        <c:crosses val="max"/>
        <c:crossBetween val="between"/>
      </c:valAx>
      <c:catAx>
        <c:axId val="660925039"/>
        <c:scaling>
          <c:orientation val="minMax"/>
        </c:scaling>
        <c:delete val="1"/>
        <c:axPos val="b"/>
        <c:numFmt formatCode="General" sourceLinked="1"/>
        <c:majorTickMark val="out"/>
        <c:minorTickMark val="none"/>
        <c:tickLblPos val="nextTo"/>
        <c:crossAx val="6609379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58730158730157E-2"/>
          <c:y val="6.1093117408906883E-2"/>
          <c:w val="0.79722953993042922"/>
          <c:h val="0.82635627530364386"/>
        </c:manualLayout>
      </c:layout>
      <c:scatterChart>
        <c:scatterStyle val="lineMarker"/>
        <c:varyColors val="0"/>
        <c:ser>
          <c:idx val="0"/>
          <c:order val="0"/>
          <c:tx>
            <c:strRef>
              <c:f>'Global Inflation Cost of Living'!$J$1</c:f>
              <c:strCache>
                <c:ptCount val="1"/>
                <c:pt idx="0">
                  <c:v>Cost of Living Index</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4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5B-406F-8D19-906DA9E46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olid"/>
              </a:ln>
              <a:effectLst/>
            </c:spPr>
            <c:trendlineType val="linear"/>
            <c:dispRSqr val="0"/>
            <c:dispEq val="0"/>
          </c:trendline>
          <c:xVal>
            <c:numRef>
              <c:f>'Global Inflation Cost of Living'!$I$2:$I$218</c:f>
              <c:numCache>
                <c:formatCode>General</c:formatCode>
                <c:ptCount val="217"/>
                <c:pt idx="0">
                  <c:v>0</c:v>
                </c:pt>
                <c:pt idx="1">
                  <c:v>1.0623404197659501</c:v>
                </c:pt>
                <c:pt idx="2">
                  <c:v>2.3895112359501698</c:v>
                </c:pt>
                <c:pt idx="3">
                  <c:v>5.8568384997007197</c:v>
                </c:pt>
                <c:pt idx="4">
                  <c:v>1.4464366430616</c:v>
                </c:pt>
                <c:pt idx="5">
                  <c:v>2.9495252048520699</c:v>
                </c:pt>
                <c:pt idx="6">
                  <c:v>3.14530134431081</c:v>
                </c:pt>
                <c:pt idx="7">
                  <c:v>1.66336510224894</c:v>
                </c:pt>
                <c:pt idx="8">
                  <c:v>1.3722004976892599</c:v>
                </c:pt>
                <c:pt idx="9">
                  <c:v>1.2673431029237501</c:v>
                </c:pt>
                <c:pt idx="10">
                  <c:v>3.16656665428797</c:v>
                </c:pt>
                <c:pt idx="11">
                  <c:v>2.1134499957731698</c:v>
                </c:pt>
                <c:pt idx="12">
                  <c:v>1.68792112375809</c:v>
                </c:pt>
                <c:pt idx="13">
                  <c:v>3.2715729463591998</c:v>
                </c:pt>
                <c:pt idx="14">
                  <c:v>2.8985507246376199</c:v>
                </c:pt>
                <c:pt idx="15">
                  <c:v>2.9227978230195699</c:v>
                </c:pt>
                <c:pt idx="16">
                  <c:v>2.3815838328117298</c:v>
                </c:pt>
                <c:pt idx="17">
                  <c:v>0.91963545981765105</c:v>
                </c:pt>
                <c:pt idx="18">
                  <c:v>1.9990494229146301</c:v>
                </c:pt>
                <c:pt idx="19">
                  <c:v>0.59358923624846904</c:v>
                </c:pt>
                <c:pt idx="20">
                  <c:v>2.2564981433876001</c:v>
                </c:pt>
                <c:pt idx="21">
                  <c:v>2.73853681635241</c:v>
                </c:pt>
                <c:pt idx="22">
                  <c:v>0.98237302306141705</c:v>
                </c:pt>
                <c:pt idx="23">
                  <c:v>2.7471478866179999</c:v>
                </c:pt>
                <c:pt idx="24">
                  <c:v>2.4161318779187599</c:v>
                </c:pt>
                <c:pt idx="25">
                  <c:v>2.7410187567948601</c:v>
                </c:pt>
                <c:pt idx="26">
                  <c:v>1.834100204499</c:v>
                </c:pt>
                <c:pt idx="27">
                  <c:v>3.7906089763019701</c:v>
                </c:pt>
                <c:pt idx="28">
                  <c:v>0.39833333333342202</c:v>
                </c:pt>
                <c:pt idx="29">
                  <c:v>-0.42936004906973002</c:v>
                </c:pt>
                <c:pt idx="30">
                  <c:v>4.7222558845293197</c:v>
                </c:pt>
                <c:pt idx="31">
                  <c:v>4.6850965426576998</c:v>
                </c:pt>
                <c:pt idx="32">
                  <c:v>4.3674640765233699</c:v>
                </c:pt>
                <c:pt idx="33">
                  <c:v>4.3611524651896199</c:v>
                </c:pt>
                <c:pt idx="34">
                  <c:v>0.80804201653665397</c:v>
                </c:pt>
                <c:pt idx="35">
                  <c:v>0.21812893843917699</c:v>
                </c:pt>
                <c:pt idx="36">
                  <c:v>0</c:v>
                </c:pt>
                <c:pt idx="37">
                  <c:v>4.9530355097366101</c:v>
                </c:pt>
                <c:pt idx="38">
                  <c:v>6.1977990165841996</c:v>
                </c:pt>
                <c:pt idx="39">
                  <c:v>2.1815127361518898</c:v>
                </c:pt>
                <c:pt idx="40">
                  <c:v>3.21260487006347</c:v>
                </c:pt>
                <c:pt idx="41">
                  <c:v>12.632531853045201</c:v>
                </c:pt>
                <c:pt idx="42">
                  <c:v>33.241659055274901</c:v>
                </c:pt>
                <c:pt idx="43">
                  <c:v>10.4657482763412</c:v>
                </c:pt>
                <c:pt idx="44">
                  <c:v>-6.6011856407372598</c:v>
                </c:pt>
                <c:pt idx="45">
                  <c:v>219.883929014578</c:v>
                </c:pt>
                <c:pt idx="46">
                  <c:v>138.80846024176</c:v>
                </c:pt>
                <c:pt idx="47">
                  <c:v>104.70517062866701</c:v>
                </c:pt>
                <c:pt idx="48">
                  <c:v>91.440822076904595</c:v>
                </c:pt>
                <c:pt idx="49">
                  <c:v>58.506450730034203</c:v>
                </c:pt>
                <c:pt idx="50">
                  <c:v>53.669145830378199</c:v>
                </c:pt>
                <c:pt idx="51">
                  <c:v>45.243042271671797</c:v>
                </c:pt>
                <c:pt idx="52">
                  <c:v>32.455871402916998</c:v>
                </c:pt>
                <c:pt idx="53">
                  <c:v>32.179650422502498</c:v>
                </c:pt>
                <c:pt idx="54">
                  <c:v>28.633750001411499</c:v>
                </c:pt>
                <c:pt idx="55">
                  <c:v>28.270589932208299</c:v>
                </c:pt>
                <c:pt idx="56">
                  <c:v>28.2404948915772</c:v>
                </c:pt>
                <c:pt idx="57">
                  <c:v>26.9490564091987</c:v>
                </c:pt>
                <c:pt idx="58">
                  <c:v>23.130569594258802</c:v>
                </c:pt>
                <c:pt idx="59">
                  <c:v>22.848328115784199</c:v>
                </c:pt>
                <c:pt idx="60">
                  <c:v>21.037746057771098</c:v>
                </c:pt>
                <c:pt idx="61">
                  <c:v>20.212492502784698</c:v>
                </c:pt>
                <c:pt idx="62">
                  <c:v>16.229615913027899</c:v>
                </c:pt>
                <c:pt idx="63">
                  <c:v>14.9856262747939</c:v>
                </c:pt>
                <c:pt idx="64">
                  <c:v>14.3519273571008</c:v>
                </c:pt>
                <c:pt idx="65">
                  <c:v>11.561053289751101</c:v>
                </c:pt>
                <c:pt idx="66">
                  <c:v>9.6282546595668208</c:v>
                </c:pt>
                <c:pt idx="67">
                  <c:v>9.07151997725013</c:v>
                </c:pt>
                <c:pt idx="68">
                  <c:v>8.8995073226375396</c:v>
                </c:pt>
                <c:pt idx="69">
                  <c:v>8.69082156104494</c:v>
                </c:pt>
                <c:pt idx="70">
                  <c:v>8.4348641049672306</c:v>
                </c:pt>
                <c:pt idx="71">
                  <c:v>8.2149743911896405</c:v>
                </c:pt>
                <c:pt idx="72">
                  <c:v>8.1231391494859597</c:v>
                </c:pt>
                <c:pt idx="73">
                  <c:v>7.61335784313723</c:v>
                </c:pt>
                <c:pt idx="74">
                  <c:v>7.20661657168794</c:v>
                </c:pt>
                <c:pt idx="75">
                  <c:v>6.6090859372822797</c:v>
                </c:pt>
                <c:pt idx="76">
                  <c:v>6.5019846466925397</c:v>
                </c:pt>
                <c:pt idx="77">
                  <c:v>6.1988669884211598</c:v>
                </c:pt>
                <c:pt idx="78">
                  <c:v>6.1059011284827998</c:v>
                </c:pt>
                <c:pt idx="79">
                  <c:v>6.10544624245032</c:v>
                </c:pt>
                <c:pt idx="80">
                  <c:v>5.7853191042800498</c:v>
                </c:pt>
                <c:pt idx="81">
                  <c:v>5.7214057435443904</c:v>
                </c:pt>
                <c:pt idx="82">
                  <c:v>5.4119444798165901</c:v>
                </c:pt>
                <c:pt idx="83">
                  <c:v>5.4087437547906703</c:v>
                </c:pt>
                <c:pt idx="84">
                  <c:v>5.0997656831742697</c:v>
                </c:pt>
                <c:pt idx="85">
                  <c:v>5.0519260958821803</c:v>
                </c:pt>
                <c:pt idx="86">
                  <c:v>4.9976070120732299</c:v>
                </c:pt>
                <c:pt idx="87">
                  <c:v>4.8491436661315603</c:v>
                </c:pt>
                <c:pt idx="88">
                  <c:v>4.6777351600704797</c:v>
                </c:pt>
                <c:pt idx="89">
                  <c:v>4.6705297488996997</c:v>
                </c:pt>
                <c:pt idx="90">
                  <c:v>4.6247384105714104</c:v>
                </c:pt>
                <c:pt idx="91">
                  <c:v>4.6062109812710101</c:v>
                </c:pt>
                <c:pt idx="92">
                  <c:v>4.53331349711606</c:v>
                </c:pt>
                <c:pt idx="93">
                  <c:v>4.4897885424344803</c:v>
                </c:pt>
                <c:pt idx="94">
                  <c:v>4.3218394838803302</c:v>
                </c:pt>
                <c:pt idx="95">
                  <c:v>4.2976389157252397</c:v>
                </c:pt>
                <c:pt idx="96">
                  <c:v>4.23903922877036</c:v>
                </c:pt>
                <c:pt idx="97">
                  <c:v>4.1908172134452304</c:v>
                </c:pt>
                <c:pt idx="98">
                  <c:v>4.0785683481202204</c:v>
                </c:pt>
                <c:pt idx="99">
                  <c:v>4.0461145531343403</c:v>
                </c:pt>
                <c:pt idx="100">
                  <c:v>3.8908423788410502</c:v>
                </c:pt>
                <c:pt idx="101">
                  <c:v>3.83540271728533</c:v>
                </c:pt>
                <c:pt idx="102">
                  <c:v>3.7655582577011399</c:v>
                </c:pt>
                <c:pt idx="103">
                  <c:v>3.70370370370369</c:v>
                </c:pt>
                <c:pt idx="104">
                  <c:v>3.6277073694092699</c:v>
                </c:pt>
                <c:pt idx="105">
                  <c:v>3.6210927388584402</c:v>
                </c:pt>
                <c:pt idx="106">
                  <c:v>3.6045220384796002</c:v>
                </c:pt>
                <c:pt idx="107">
                  <c:v>3.5571123084824299</c:v>
                </c:pt>
                <c:pt idx="108">
                  <c:v>3.5194118998391999</c:v>
                </c:pt>
                <c:pt idx="109">
                  <c:v>3.4897408602695399</c:v>
                </c:pt>
                <c:pt idx="110">
                  <c:v>3.4505302813101899</c:v>
                </c:pt>
                <c:pt idx="111">
                  <c:v>3.34754304219953</c:v>
                </c:pt>
                <c:pt idx="112">
                  <c:v>3.3367500928228102</c:v>
                </c:pt>
                <c:pt idx="113">
                  <c:v>3.32338033691819</c:v>
                </c:pt>
                <c:pt idx="114">
                  <c:v>3.3022333895122702</c:v>
                </c:pt>
                <c:pt idx="115">
                  <c:v>3.2895598595276798</c:v>
                </c:pt>
                <c:pt idx="116">
                  <c:v>3.2063986409965999</c:v>
                </c:pt>
                <c:pt idx="117">
                  <c:v>3.1818892423747198</c:v>
                </c:pt>
                <c:pt idx="118">
                  <c:v>3.1434913650004099</c:v>
                </c:pt>
                <c:pt idx="119">
                  <c:v>3.0914363091916601</c:v>
                </c:pt>
                <c:pt idx="120">
                  <c:v>3.0748088980502501</c:v>
                </c:pt>
                <c:pt idx="121">
                  <c:v>3.0569467631237299</c:v>
                </c:pt>
                <c:pt idx="122">
                  <c:v>2.9720047764362598</c:v>
                </c:pt>
                <c:pt idx="123">
                  <c:v>2.9379157427937601</c:v>
                </c:pt>
                <c:pt idx="124">
                  <c:v>2.9214022730910298</c:v>
                </c:pt>
                <c:pt idx="125">
                  <c:v>2.90379501424778</c:v>
                </c:pt>
                <c:pt idx="126">
                  <c:v>2.8699275291829398</c:v>
                </c:pt>
                <c:pt idx="127">
                  <c:v>2.8626207408980102</c:v>
                </c:pt>
                <c:pt idx="128">
                  <c:v>2.8358165822403398</c:v>
                </c:pt>
                <c:pt idx="129">
                  <c:v>2.8183513167625098</c:v>
                </c:pt>
                <c:pt idx="130">
                  <c:v>2.7613156962409802</c:v>
                </c:pt>
                <c:pt idx="131">
                  <c:v>2.75760909424279</c:v>
                </c:pt>
                <c:pt idx="132">
                  <c:v>2.7362075187331301</c:v>
                </c:pt>
                <c:pt idx="133">
                  <c:v>2.6116961151764002</c:v>
                </c:pt>
                <c:pt idx="134">
                  <c:v>2.4916434748197198</c:v>
                </c:pt>
                <c:pt idx="135">
                  <c:v>2.4554507215902799</c:v>
                </c:pt>
                <c:pt idx="136">
                  <c:v>2.44651943006079</c:v>
                </c:pt>
                <c:pt idx="137">
                  <c:v>2.4353120243531401</c:v>
                </c:pt>
                <c:pt idx="138">
                  <c:v>2.3217432864354199</c:v>
                </c:pt>
                <c:pt idx="139">
                  <c:v>2.2317277292170399</c:v>
                </c:pt>
                <c:pt idx="140">
                  <c:v>2.2158737508999198</c:v>
                </c:pt>
                <c:pt idx="141">
                  <c:v>2.2121718891990101</c:v>
                </c:pt>
                <c:pt idx="142">
                  <c:v>2.1724553051437701</c:v>
                </c:pt>
                <c:pt idx="143">
                  <c:v>2.12615766885021</c:v>
                </c:pt>
                <c:pt idx="144">
                  <c:v>2.1120116728496998</c:v>
                </c:pt>
                <c:pt idx="145">
                  <c:v>2.0628415300546799</c:v>
                </c:pt>
                <c:pt idx="146">
                  <c:v>2.0511326995485901</c:v>
                </c:pt>
                <c:pt idx="147">
                  <c:v>2.0077073941271202</c:v>
                </c:pt>
                <c:pt idx="148">
                  <c:v>1.9656265643250499</c:v>
                </c:pt>
                <c:pt idx="149">
                  <c:v>1.8002301862482399</c:v>
                </c:pt>
                <c:pt idx="150">
                  <c:v>1.77029240198635</c:v>
                </c:pt>
                <c:pt idx="151">
                  <c:v>1.7297211910591399</c:v>
                </c:pt>
                <c:pt idx="152">
                  <c:v>1.6507946928310899</c:v>
                </c:pt>
                <c:pt idx="153">
                  <c:v>1.61944994559476</c:v>
                </c:pt>
                <c:pt idx="154">
                  <c:v>1.5656890623161599</c:v>
                </c:pt>
                <c:pt idx="155">
                  <c:v>1.55659611283953</c:v>
                </c:pt>
                <c:pt idx="156">
                  <c:v>1.54732515615369</c:v>
                </c:pt>
                <c:pt idx="157">
                  <c:v>1.47733600718744</c:v>
                </c:pt>
                <c:pt idx="158">
                  <c:v>1.4109352791013401</c:v>
                </c:pt>
                <c:pt idx="159">
                  <c:v>1.2657988582872901</c:v>
                </c:pt>
                <c:pt idx="160">
                  <c:v>1.24216507945569</c:v>
                </c:pt>
                <c:pt idx="161">
                  <c:v>1.17311998381218</c:v>
                </c:pt>
                <c:pt idx="162">
                  <c:v>1.16093089640415</c:v>
                </c:pt>
                <c:pt idx="163">
                  <c:v>1.1434894872741199</c:v>
                </c:pt>
                <c:pt idx="164">
                  <c:v>1.10971758022096</c:v>
                </c:pt>
                <c:pt idx="165">
                  <c:v>1.08615365134737</c:v>
                </c:pt>
                <c:pt idx="166">
                  <c:v>1.0481700109196499</c:v>
                </c:pt>
                <c:pt idx="167">
                  <c:v>0.98525659200450699</c:v>
                </c:pt>
                <c:pt idx="168">
                  <c:v>0.85378229256728799</c:v>
                </c:pt>
                <c:pt idx="169">
                  <c:v>0.80450329879243798</c:v>
                </c:pt>
                <c:pt idx="170">
                  <c:v>0.71573583522872297</c:v>
                </c:pt>
                <c:pt idx="171">
                  <c:v>0.69322555100446004</c:v>
                </c:pt>
                <c:pt idx="172">
                  <c:v>0.67249859885436503</c:v>
                </c:pt>
                <c:pt idx="173">
                  <c:v>0.60240392110791696</c:v>
                </c:pt>
                <c:pt idx="174">
                  <c:v>0.52688462577683903</c:v>
                </c:pt>
                <c:pt idx="175">
                  <c:v>0.40916248908328601</c:v>
                </c:pt>
                <c:pt idx="176">
                  <c:v>0.31172605091966799</c:v>
                </c:pt>
                <c:pt idx="177">
                  <c:v>0.26951197825912498</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-0.38867416503646102</c:v>
                </c:pt>
                <c:pt idx="215">
                  <c:v>-0.41285300104706901</c:v>
                </c:pt>
                <c:pt idx="216">
                  <c:v>-0.67424085341877904</c:v>
                </c:pt>
              </c:numCache>
            </c:numRef>
          </c:xVal>
          <c:yVal>
            <c:numRef>
              <c:f>'Global Inflation Cost of Living'!$J$2:$J$218</c:f>
              <c:numCache>
                <c:formatCode>General</c:formatCode>
                <c:ptCount val="217"/>
                <c:pt idx="0">
                  <c:v>94.3</c:v>
                </c:pt>
                <c:pt idx="1">
                  <c:v>82.3</c:v>
                </c:pt>
                <c:pt idx="2">
                  <c:v>80.900000000000006</c:v>
                </c:pt>
                <c:pt idx="3">
                  <c:v>78.2</c:v>
                </c:pt>
                <c:pt idx="4">
                  <c:v>75.2</c:v>
                </c:pt>
                <c:pt idx="5">
                  <c:v>74.3</c:v>
                </c:pt>
                <c:pt idx="6">
                  <c:v>73.8</c:v>
                </c:pt>
                <c:pt idx="7">
                  <c:v>72.400000000000006</c:v>
                </c:pt>
                <c:pt idx="8">
                  <c:v>72.099999999999994</c:v>
                </c:pt>
                <c:pt idx="9">
                  <c:v>70.8</c:v>
                </c:pt>
                <c:pt idx="10">
                  <c:v>69.5</c:v>
                </c:pt>
                <c:pt idx="11">
                  <c:v>68.900000000000006</c:v>
                </c:pt>
                <c:pt idx="12">
                  <c:v>68.2</c:v>
                </c:pt>
                <c:pt idx="13">
                  <c:v>67.8</c:v>
                </c:pt>
                <c:pt idx="14">
                  <c:v>67.5</c:v>
                </c:pt>
                <c:pt idx="15">
                  <c:v>66.2</c:v>
                </c:pt>
                <c:pt idx="16">
                  <c:v>65.400000000000006</c:v>
                </c:pt>
                <c:pt idx="17">
                  <c:v>65.2</c:v>
                </c:pt>
                <c:pt idx="18">
                  <c:v>64.8</c:v>
                </c:pt>
                <c:pt idx="19">
                  <c:v>64.8</c:v>
                </c:pt>
                <c:pt idx="20">
                  <c:v>64.099999999999994</c:v>
                </c:pt>
                <c:pt idx="21">
                  <c:v>63.2</c:v>
                </c:pt>
                <c:pt idx="22">
                  <c:v>62.5</c:v>
                </c:pt>
                <c:pt idx="23">
                  <c:v>60.8</c:v>
                </c:pt>
                <c:pt idx="24">
                  <c:v>58.2</c:v>
                </c:pt>
                <c:pt idx="25">
                  <c:v>57.1</c:v>
                </c:pt>
                <c:pt idx="26">
                  <c:v>56.8</c:v>
                </c:pt>
                <c:pt idx="27">
                  <c:v>55.8</c:v>
                </c:pt>
                <c:pt idx="28">
                  <c:v>55.2</c:v>
                </c:pt>
                <c:pt idx="29">
                  <c:v>53.8</c:v>
                </c:pt>
                <c:pt idx="30">
                  <c:v>52.8</c:v>
                </c:pt>
                <c:pt idx="31">
                  <c:v>51.5</c:v>
                </c:pt>
                <c:pt idx="32">
                  <c:v>51.4</c:v>
                </c:pt>
                <c:pt idx="33">
                  <c:v>50.2</c:v>
                </c:pt>
                <c:pt idx="34">
                  <c:v>50.2</c:v>
                </c:pt>
                <c:pt idx="35">
                  <c:v>49.8</c:v>
                </c:pt>
                <c:pt idx="36">
                  <c:v>48.8</c:v>
                </c:pt>
                <c:pt idx="37">
                  <c:v>48.5</c:v>
                </c:pt>
                <c:pt idx="38">
                  <c:v>47.5</c:v>
                </c:pt>
                <c:pt idx="39">
                  <c:v>47.2</c:v>
                </c:pt>
                <c:pt idx="40">
                  <c:v>46.1</c:v>
                </c:pt>
                <c:pt idx="41">
                  <c:v>43.2</c:v>
                </c:pt>
                <c:pt idx="42">
                  <c:v>40.799999999999997</c:v>
                </c:pt>
                <c:pt idx="43">
                  <c:v>39.5</c:v>
                </c:pt>
                <c:pt idx="44">
                  <c:v>38.200000000000003</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numCache>
            </c:numRef>
          </c:yVal>
          <c:smooth val="0"/>
          <c:extLst>
            <c:ext xmlns:c16="http://schemas.microsoft.com/office/drawing/2014/chart" uri="{C3380CC4-5D6E-409C-BE32-E72D297353CC}">
              <c16:uniqueId val="{00000000-3E5B-406F-8D19-906DA9E46B37}"/>
            </c:ext>
          </c:extLst>
        </c:ser>
        <c:dLbls>
          <c:showLegendKey val="0"/>
          <c:showVal val="0"/>
          <c:showCatName val="0"/>
          <c:showSerName val="0"/>
          <c:showPercent val="0"/>
          <c:showBubbleSize val="0"/>
        </c:dLbls>
        <c:axId val="1446101807"/>
        <c:axId val="1446099407"/>
      </c:scatterChart>
      <c:valAx>
        <c:axId val="14461018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Inflation</a:t>
                </a:r>
                <a:r>
                  <a:rPr lang="en-US" sz="1200" b="1" baseline="0">
                    <a:latin typeface="Times New Roman" panose="02020603050405020304" pitchFamily="18" charset="0"/>
                    <a:cs typeface="Times New Roman" panose="02020603050405020304" pitchFamily="18" charset="0"/>
                  </a:rPr>
                  <a:t> Rate</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99407"/>
        <c:crosses val="autoZero"/>
        <c:crossBetween val="midCat"/>
      </c:valAx>
      <c:valAx>
        <c:axId val="144609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Cost</a:t>
                </a:r>
                <a:r>
                  <a:rPr lang="en-US" sz="1200" b="1" baseline="0">
                    <a:latin typeface="Times New Roman" panose="02020603050405020304" pitchFamily="18" charset="0"/>
                    <a:cs typeface="Times New Roman" panose="02020603050405020304" pitchFamily="18" charset="0"/>
                  </a:rPr>
                  <a:t> of Living</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01807"/>
        <c:crosses val="autoZero"/>
        <c:crossBetween val="midCat"/>
      </c:valAx>
      <c:spPr>
        <a:noFill/>
        <a:ln>
          <a:noFill/>
        </a:ln>
        <a:effectLst/>
      </c:spPr>
    </c:plotArea>
    <c:legend>
      <c:legendPos val="r"/>
      <c:layout>
        <c:manualLayout>
          <c:xMode val="edge"/>
          <c:yMode val="edge"/>
          <c:x val="0.83597857569097767"/>
          <c:y val="0.48483105948390115"/>
          <c:w val="0.15293085129608336"/>
          <c:h val="0.22079301473454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Average Annual Inflation Across Countries</a:t>
            </a:r>
          </a:p>
        </c:rich>
      </c:tx>
      <c:layout>
        <c:manualLayout>
          <c:xMode val="edge"/>
          <c:yMode val="edge"/>
          <c:x val="0.22612303699467731"/>
          <c:y val="0.1174098520703779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780877390326207E-2"/>
          <c:y val="0.24542734045036824"/>
          <c:w val="0.76926056242969632"/>
          <c:h val="0.576184392045334"/>
        </c:manualLayout>
      </c:layout>
      <c:line3DChart>
        <c:grouping val="standard"/>
        <c:varyColors val="0"/>
        <c:ser>
          <c:idx val="0"/>
          <c:order val="0"/>
          <c:tx>
            <c:strRef>
              <c:f>'Pivot Analysis'!$B$4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'Pivot Analysis'!$A$5:$A$8</c:f>
              <c:strCache>
                <c:ptCount val="3"/>
                <c:pt idx="0">
                  <c:v>2022</c:v>
                </c:pt>
                <c:pt idx="1">
                  <c:v>2023</c:v>
                </c:pt>
                <c:pt idx="2">
                  <c:v>2024</c:v>
                </c:pt>
              </c:strCache>
            </c:strRef>
          </c:cat>
          <c:val>
            <c:numRef>
              <c:f>'Pivot Analysis'!$B$5:$B$8</c:f>
              <c:numCache>
                <c:formatCode>General</c:formatCode>
                <c:ptCount val="3"/>
                <c:pt idx="0">
                  <c:v>82.974124875072562</c:v>
                </c:pt>
                <c:pt idx="1">
                  <c:v>4.8315067184826148</c:v>
                </c:pt>
                <c:pt idx="2">
                  <c:v>7.4640096995203757</c:v>
                </c:pt>
              </c:numCache>
            </c:numRef>
          </c:val>
          <c:smooth val="0"/>
          <c:extLst>
            <c:ext xmlns:c16="http://schemas.microsoft.com/office/drawing/2014/chart" uri="{C3380CC4-5D6E-409C-BE32-E72D297353CC}">
              <c16:uniqueId val="{00000000-AB9C-4E83-AD5D-CB0C89B31E43}"/>
            </c:ext>
          </c:extLst>
        </c:ser>
        <c:dLbls>
          <c:showLegendKey val="0"/>
          <c:showVal val="0"/>
          <c:showCatName val="0"/>
          <c:showSerName val="0"/>
          <c:showPercent val="0"/>
          <c:showBubbleSize val="0"/>
        </c:dLbls>
        <c:axId val="684880096"/>
        <c:axId val="684895936"/>
        <c:axId val="480594192"/>
      </c:line3DChart>
      <c:catAx>
        <c:axId val="6848800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4895936"/>
        <c:crosses val="autoZero"/>
        <c:auto val="1"/>
        <c:lblAlgn val="ctr"/>
        <c:lblOffset val="100"/>
        <c:noMultiLvlLbl val="0"/>
      </c:catAx>
      <c:valAx>
        <c:axId val="6848959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4880096"/>
        <c:crosses val="autoZero"/>
        <c:crossBetween val="between"/>
      </c:valAx>
      <c:serAx>
        <c:axId val="48059419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48959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Analysis!PivotTable4</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 Top 10 Countries with Highest Inflation Rate</a:t>
            </a:r>
          </a:p>
        </c:rich>
      </c:tx>
      <c:layout>
        <c:manualLayout>
          <c:xMode val="edge"/>
          <c:yMode val="edge"/>
          <c:x val="0.3060340435386753"/>
          <c:y val="2.703512707609897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55182172774231"/>
          <c:y val="0.15997585524613064"/>
          <c:w val="0.57338598895529413"/>
          <c:h val="0.73262467131857845"/>
        </c:manualLayout>
      </c:layout>
      <c:barChart>
        <c:barDir val="bar"/>
        <c:grouping val="clustered"/>
        <c:varyColors val="0"/>
        <c:ser>
          <c:idx val="0"/>
          <c:order val="0"/>
          <c:tx>
            <c:strRef>
              <c:f>'Pivot Analysis'!$B$29</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 Analysis'!$A$30:$A$40</c:f>
              <c:strCache>
                <c:ptCount val="10"/>
                <c:pt idx="0">
                  <c:v>Argentina</c:v>
                </c:pt>
                <c:pt idx="1">
                  <c:v>Iran, Islamic Rep.</c:v>
                </c:pt>
                <c:pt idx="2">
                  <c:v>Lebanon</c:v>
                </c:pt>
                <c:pt idx="3">
                  <c:v>Malawi</c:v>
                </c:pt>
                <c:pt idx="4">
                  <c:v>Nigeria</c:v>
                </c:pt>
                <c:pt idx="5">
                  <c:v>South Sudan</c:v>
                </c:pt>
                <c:pt idx="6">
                  <c:v>Sudan</c:v>
                </c:pt>
                <c:pt idx="7">
                  <c:v>Turkiye</c:v>
                </c:pt>
                <c:pt idx="8">
                  <c:v>West Bank and Gaza</c:v>
                </c:pt>
                <c:pt idx="9">
                  <c:v>Zimbabwe</c:v>
                </c:pt>
              </c:strCache>
            </c:strRef>
          </c:cat>
          <c:val>
            <c:numRef>
              <c:f>'Pivot Analysis'!$B$30:$B$40</c:f>
              <c:numCache>
                <c:formatCode>General</c:formatCode>
                <c:ptCount val="10"/>
                <c:pt idx="0">
                  <c:v>219.883929014578</c:v>
                </c:pt>
                <c:pt idx="1">
                  <c:v>32.455871402916998</c:v>
                </c:pt>
                <c:pt idx="2">
                  <c:v>45.243042271671797</c:v>
                </c:pt>
                <c:pt idx="3">
                  <c:v>32.179650422502498</c:v>
                </c:pt>
                <c:pt idx="4">
                  <c:v>33.241659055274901</c:v>
                </c:pt>
                <c:pt idx="5">
                  <c:v>91.440822076904595</c:v>
                </c:pt>
                <c:pt idx="6">
                  <c:v>138.80846024176</c:v>
                </c:pt>
                <c:pt idx="7">
                  <c:v>58.506450730034203</c:v>
                </c:pt>
                <c:pt idx="8">
                  <c:v>53.669145830378199</c:v>
                </c:pt>
                <c:pt idx="9">
                  <c:v>104.70517062866701</c:v>
                </c:pt>
              </c:numCache>
            </c:numRef>
          </c:val>
          <c:extLst>
            <c:ext xmlns:c16="http://schemas.microsoft.com/office/drawing/2014/chart" uri="{C3380CC4-5D6E-409C-BE32-E72D297353CC}">
              <c16:uniqueId val="{00000000-3C1D-4EEE-976E-F0492D9F0489}"/>
            </c:ext>
          </c:extLst>
        </c:ser>
        <c:dLbls>
          <c:showLegendKey val="0"/>
          <c:showVal val="0"/>
          <c:showCatName val="0"/>
          <c:showSerName val="0"/>
          <c:showPercent val="0"/>
          <c:showBubbleSize val="0"/>
        </c:dLbls>
        <c:gapWidth val="100"/>
        <c:axId val="524428160"/>
        <c:axId val="524401760"/>
      </c:barChart>
      <c:catAx>
        <c:axId val="52442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4401760"/>
        <c:crosses val="autoZero"/>
        <c:auto val="1"/>
        <c:lblAlgn val="ctr"/>
        <c:lblOffset val="100"/>
        <c:noMultiLvlLbl val="0"/>
      </c:catAx>
      <c:valAx>
        <c:axId val="52440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442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000" b="1">
                <a:latin typeface="Arial Black" panose="020B0A04020102020204" pitchFamily="34" charset="0"/>
              </a:rPr>
              <a:t>10 Countries with Lowest Inflation Rate</a:t>
            </a:r>
          </a:p>
        </c:rich>
      </c:tx>
      <c:layout>
        <c:manualLayout>
          <c:xMode val="edge"/>
          <c:yMode val="edge"/>
          <c:x val="0.23077421775279489"/>
          <c:y val="0.105339948944738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8785529586357E-2"/>
          <c:y val="0.23523362056158076"/>
          <c:w val="0.73719016842771068"/>
          <c:h val="0.67892549398306345"/>
        </c:manualLayout>
      </c:layout>
      <c:barChart>
        <c:barDir val="bar"/>
        <c:grouping val="clustered"/>
        <c:varyColors val="0"/>
        <c:ser>
          <c:idx val="0"/>
          <c:order val="0"/>
          <c:tx>
            <c:strRef>
              <c:f>'Pivot Analysis'!$B$45</c:f>
              <c:strCache>
                <c:ptCount val="1"/>
                <c:pt idx="0">
                  <c:v>Total</c:v>
                </c:pt>
              </c:strCache>
            </c:strRef>
          </c:tx>
          <c:spPr>
            <a:solidFill>
              <a:schemeClr val="accent1"/>
            </a:solidFill>
            <a:ln>
              <a:noFill/>
            </a:ln>
            <a:effectLst/>
          </c:spPr>
          <c:invertIfNegative val="0"/>
          <c:cat>
            <c:strRef>
              <c:f>'Pivot Analysis'!$A$46:$A$56</c:f>
              <c:strCache>
                <c:ptCount val="10"/>
                <c:pt idx="0">
                  <c:v>Afghanistan</c:v>
                </c:pt>
                <c:pt idx="1">
                  <c:v>Armenia</c:v>
                </c:pt>
                <c:pt idx="2">
                  <c:v>Bahamas, The</c:v>
                </c:pt>
                <c:pt idx="3">
                  <c:v>Brunei Darussalam</c:v>
                </c:pt>
                <c:pt idx="4">
                  <c:v>China</c:v>
                </c:pt>
                <c:pt idx="5">
                  <c:v>Costa Rica</c:v>
                </c:pt>
                <c:pt idx="6">
                  <c:v>Seychelles</c:v>
                </c:pt>
                <c:pt idx="7">
                  <c:v>Sri Lanka</c:v>
                </c:pt>
                <c:pt idx="8">
                  <c:v>St. Lucia</c:v>
                </c:pt>
                <c:pt idx="9">
                  <c:v>Thailand</c:v>
                </c:pt>
              </c:strCache>
            </c:strRef>
          </c:cat>
          <c:val>
            <c:numRef>
              <c:f>'Pivot Analysis'!$B$46:$B$56</c:f>
              <c:numCache>
                <c:formatCode>General</c:formatCode>
                <c:ptCount val="10"/>
                <c:pt idx="0">
                  <c:v>-6.6011856407372598</c:v>
                </c:pt>
                <c:pt idx="1">
                  <c:v>0.26951197825912498</c:v>
                </c:pt>
                <c:pt idx="2">
                  <c:v>0.40916248908328601</c:v>
                </c:pt>
                <c:pt idx="3">
                  <c:v>-0.38867416503646102</c:v>
                </c:pt>
                <c:pt idx="4">
                  <c:v>0.21812893843917699</c:v>
                </c:pt>
                <c:pt idx="5">
                  <c:v>-0.41285300104706901</c:v>
                </c:pt>
                <c:pt idx="6">
                  <c:v>0.31172605091966799</c:v>
                </c:pt>
                <c:pt idx="7">
                  <c:v>-0.42936004906973002</c:v>
                </c:pt>
                <c:pt idx="8">
                  <c:v>-0.67424085341877904</c:v>
                </c:pt>
                <c:pt idx="9">
                  <c:v>0.39833333333342202</c:v>
                </c:pt>
              </c:numCache>
            </c:numRef>
          </c:val>
          <c:extLst>
            <c:ext xmlns:c16="http://schemas.microsoft.com/office/drawing/2014/chart" uri="{C3380CC4-5D6E-409C-BE32-E72D297353CC}">
              <c16:uniqueId val="{00000000-CE19-47C8-878D-F0AEDA3CFFE3}"/>
            </c:ext>
          </c:extLst>
        </c:ser>
        <c:dLbls>
          <c:showLegendKey val="0"/>
          <c:showVal val="0"/>
          <c:showCatName val="0"/>
          <c:showSerName val="0"/>
          <c:showPercent val="0"/>
          <c:showBubbleSize val="0"/>
        </c:dLbls>
        <c:gapWidth val="182"/>
        <c:axId val="1889191487"/>
        <c:axId val="1889198687"/>
      </c:barChart>
      <c:catAx>
        <c:axId val="188919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98687"/>
        <c:crosses val="autoZero"/>
        <c:auto val="1"/>
        <c:lblAlgn val="ctr"/>
        <c:lblOffset val="100"/>
        <c:noMultiLvlLbl val="0"/>
      </c:catAx>
      <c:valAx>
        <c:axId val="188919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9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latin typeface="Arial Black" panose="020B0A04020102020204" pitchFamily="34" charset="0"/>
              </a:rPr>
              <a:t>Cost of Living Index for Top 10 Countries</a:t>
            </a:r>
          </a:p>
        </c:rich>
      </c:tx>
      <c:layout>
        <c:manualLayout>
          <c:xMode val="edge"/>
          <c:yMode val="edge"/>
          <c:x val="0.45924774711722471"/>
          <c:y val="5.361683875118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2902559055118107"/>
          <c:w val="0.8251306654323165"/>
          <c:h val="0.54506270049577132"/>
        </c:manualLayout>
      </c:layout>
      <c:barChart>
        <c:barDir val="col"/>
        <c:grouping val="stacked"/>
        <c:varyColors val="0"/>
        <c:ser>
          <c:idx val="0"/>
          <c:order val="0"/>
          <c:tx>
            <c:strRef>
              <c:f>'Pivot Analysis'!$B$67</c:f>
              <c:strCache>
                <c:ptCount val="1"/>
                <c:pt idx="0">
                  <c:v>Total</c:v>
                </c:pt>
              </c:strCache>
            </c:strRef>
          </c:tx>
          <c:spPr>
            <a:solidFill>
              <a:schemeClr val="accent1"/>
            </a:solidFill>
            <a:ln>
              <a:noFill/>
            </a:ln>
            <a:effectLst/>
          </c:spPr>
          <c:invertIfNegative val="0"/>
          <c:cat>
            <c:strRef>
              <c:f>'Pivot Analysis'!$A$68:$A$78</c:f>
              <c:strCache>
                <c:ptCount val="10"/>
                <c:pt idx="0">
                  <c:v>Australia</c:v>
                </c:pt>
                <c:pt idx="1">
                  <c:v>Barbados</c:v>
                </c:pt>
                <c:pt idx="2">
                  <c:v>Denmark</c:v>
                </c:pt>
                <c:pt idx="3">
                  <c:v>Iceland</c:v>
                </c:pt>
                <c:pt idx="4">
                  <c:v>Norway</c:v>
                </c:pt>
                <c:pt idx="5">
                  <c:v>Qatar</c:v>
                </c:pt>
                <c:pt idx="6">
                  <c:v>Singapore</c:v>
                </c:pt>
                <c:pt idx="7">
                  <c:v>Switzerland</c:v>
                </c:pt>
                <c:pt idx="8">
                  <c:v>United Arab Emirates</c:v>
                </c:pt>
                <c:pt idx="9">
                  <c:v>United States</c:v>
                </c:pt>
              </c:strCache>
            </c:strRef>
          </c:cat>
          <c:val>
            <c:numRef>
              <c:f>'Pivot Analysis'!$B$68:$B$78</c:f>
              <c:numCache>
                <c:formatCode>General</c:formatCode>
                <c:ptCount val="10"/>
                <c:pt idx="0">
                  <c:v>69.5</c:v>
                </c:pt>
                <c:pt idx="1">
                  <c:v>75.2</c:v>
                </c:pt>
                <c:pt idx="2">
                  <c:v>72.099999999999994</c:v>
                </c:pt>
                <c:pt idx="3">
                  <c:v>78.2</c:v>
                </c:pt>
                <c:pt idx="4">
                  <c:v>73.8</c:v>
                </c:pt>
                <c:pt idx="5">
                  <c:v>70.8</c:v>
                </c:pt>
                <c:pt idx="6">
                  <c:v>80.900000000000006</c:v>
                </c:pt>
                <c:pt idx="7">
                  <c:v>82.3</c:v>
                </c:pt>
                <c:pt idx="8">
                  <c:v>72.400000000000006</c:v>
                </c:pt>
                <c:pt idx="9">
                  <c:v>74.3</c:v>
                </c:pt>
              </c:numCache>
            </c:numRef>
          </c:val>
          <c:extLst>
            <c:ext xmlns:c16="http://schemas.microsoft.com/office/drawing/2014/chart" uri="{C3380CC4-5D6E-409C-BE32-E72D297353CC}">
              <c16:uniqueId val="{00000000-16A0-4FA4-A410-97594C3D8E8D}"/>
            </c:ext>
          </c:extLst>
        </c:ser>
        <c:dLbls>
          <c:showLegendKey val="0"/>
          <c:showVal val="0"/>
          <c:showCatName val="0"/>
          <c:showSerName val="0"/>
          <c:showPercent val="0"/>
          <c:showBubbleSize val="0"/>
        </c:dLbls>
        <c:gapWidth val="150"/>
        <c:overlap val="100"/>
        <c:axId val="2003091039"/>
        <c:axId val="2003083359"/>
      </c:barChart>
      <c:catAx>
        <c:axId val="20030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3359"/>
        <c:crosses val="autoZero"/>
        <c:auto val="1"/>
        <c:lblAlgn val="ctr"/>
        <c:lblOffset val="100"/>
        <c:noMultiLvlLbl val="0"/>
      </c:catAx>
      <c:valAx>
        <c:axId val="200308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91039"/>
        <c:crosses val="autoZero"/>
        <c:crossBetween val="between"/>
      </c:valAx>
      <c:spPr>
        <a:noFill/>
        <a:ln>
          <a:noFill/>
        </a:ln>
        <a:effectLst/>
      </c:spPr>
    </c:plotArea>
    <c:legend>
      <c:legendPos val="r"/>
      <c:layout>
        <c:manualLayout>
          <c:xMode val="edge"/>
          <c:yMode val="edge"/>
          <c:x val="0.88478121025272005"/>
          <c:y val="0.48341401390973993"/>
          <c:w val="0.11521878974727993"/>
          <c:h val="6.85802261098685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000">
                <a:latin typeface="Arial Black" panose="020B0A04020102020204" pitchFamily="34" charset="0"/>
              </a:rPr>
              <a:t>Comparison of Inflation rates Among selected Countries (2024)</a:t>
            </a:r>
          </a:p>
        </c:rich>
      </c:tx>
      <c:layout>
        <c:manualLayout>
          <c:xMode val="edge"/>
          <c:yMode val="edge"/>
          <c:x val="0.17277283598935794"/>
          <c:y val="7.9550458877204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03543307086609E-2"/>
          <c:y val="0.25971938542484974"/>
          <c:w val="0.8347630413385827"/>
          <c:h val="0.55019785519849462"/>
        </c:manualLayout>
      </c:layout>
      <c:barChart>
        <c:barDir val="col"/>
        <c:grouping val="clustered"/>
        <c:varyColors val="0"/>
        <c:ser>
          <c:idx val="0"/>
          <c:order val="0"/>
          <c:tx>
            <c:strRef>
              <c:f>'Pivot Analysis'!$B$92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Analysis'!$A$93:$A$98</c:f>
              <c:strCache>
                <c:ptCount val="5"/>
                <c:pt idx="0">
                  <c:v>Kenya</c:v>
                </c:pt>
                <c:pt idx="1">
                  <c:v>Nigeria</c:v>
                </c:pt>
                <c:pt idx="2">
                  <c:v>South Africa</c:v>
                </c:pt>
                <c:pt idx="3">
                  <c:v>United Kingdom</c:v>
                </c:pt>
                <c:pt idx="4">
                  <c:v>United States</c:v>
                </c:pt>
              </c:strCache>
            </c:strRef>
          </c:cat>
          <c:val>
            <c:numRef>
              <c:f>'Pivot Analysis'!$B$93:$B$98</c:f>
              <c:numCache>
                <c:formatCode>General</c:formatCode>
                <c:ptCount val="5"/>
                <c:pt idx="0">
                  <c:v>4.4897885424344803</c:v>
                </c:pt>
                <c:pt idx="1">
                  <c:v>33.241659055274901</c:v>
                </c:pt>
                <c:pt idx="2">
                  <c:v>4.3611524651896199</c:v>
                </c:pt>
                <c:pt idx="3">
                  <c:v>3.2715729463591998</c:v>
                </c:pt>
                <c:pt idx="4">
                  <c:v>2.9495252048520699</c:v>
                </c:pt>
              </c:numCache>
            </c:numRef>
          </c:val>
          <c:extLst>
            <c:ext xmlns:c16="http://schemas.microsoft.com/office/drawing/2014/chart" uri="{C3380CC4-5D6E-409C-BE32-E72D297353CC}">
              <c16:uniqueId val="{00000000-8FAB-4423-831F-59DE7EE27AF8}"/>
            </c:ext>
          </c:extLst>
        </c:ser>
        <c:dLbls>
          <c:dLblPos val="outEnd"/>
          <c:showLegendKey val="0"/>
          <c:showVal val="1"/>
          <c:showCatName val="0"/>
          <c:showSerName val="0"/>
          <c:showPercent val="0"/>
          <c:showBubbleSize val="0"/>
        </c:dLbls>
        <c:gapWidth val="219"/>
        <c:overlap val="-27"/>
        <c:axId val="2003089599"/>
        <c:axId val="2003081439"/>
      </c:barChart>
      <c:catAx>
        <c:axId val="2003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1439"/>
        <c:crosses val="autoZero"/>
        <c:auto val="1"/>
        <c:lblAlgn val="ctr"/>
        <c:lblOffset val="100"/>
        <c:noMultiLvlLbl val="0"/>
      </c:catAx>
      <c:valAx>
        <c:axId val="200308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[Adekoya Olabisi.xlsx]Pivot Analysis!PivotTable7</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Average Inflation and Cost of Living by Regions</a:t>
            </a:r>
          </a:p>
        </c:rich>
      </c:tx>
      <c:layout>
        <c:manualLayout>
          <c:xMode val="edge"/>
          <c:yMode val="edge"/>
          <c:x val="0.25625990612239707"/>
          <c:y val="0.837374836342178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1670614863763E-2"/>
          <c:y val="0.11336842563187889"/>
          <c:w val="0.51886311105143523"/>
          <c:h val="0.57184176563564915"/>
        </c:manualLayout>
      </c:layout>
      <c:barChart>
        <c:barDir val="col"/>
        <c:grouping val="clustered"/>
        <c:varyColors val="0"/>
        <c:ser>
          <c:idx val="0"/>
          <c:order val="0"/>
          <c:tx>
            <c:strRef>
              <c:f>'Pivot Analysis'!$B$116</c:f>
              <c:strCache>
                <c:ptCount val="1"/>
                <c:pt idx="0">
                  <c:v>Average  Inflation Rate (%)</c:v>
                </c:pt>
              </c:strCache>
            </c:strRef>
          </c:tx>
          <c:spPr>
            <a:solidFill>
              <a:schemeClr val="accent1"/>
            </a:solidFill>
            <a:ln>
              <a:noFill/>
            </a:ln>
            <a:effectLst/>
          </c:spPr>
          <c:invertIfNegative val="0"/>
          <c:cat>
            <c:strRef>
              <c:f>'Pivot Analysis'!$A$117:$A$124</c:f>
              <c:strCache>
                <c:ptCount val="7"/>
                <c:pt idx="0">
                  <c:v>East Asia &amp; Pacific</c:v>
                </c:pt>
                <c:pt idx="1">
                  <c:v>Europe &amp; Central Asia</c:v>
                </c:pt>
                <c:pt idx="2">
                  <c:v>Latin America &amp; Caribbean </c:v>
                </c:pt>
                <c:pt idx="3">
                  <c:v>Middle East, North Africa, Afghanistan &amp; Pakistan</c:v>
                </c:pt>
                <c:pt idx="4">
                  <c:v>North America</c:v>
                </c:pt>
                <c:pt idx="5">
                  <c:v>South Asia</c:v>
                </c:pt>
                <c:pt idx="6">
                  <c:v>Sub-Saharan Africa </c:v>
                </c:pt>
              </c:strCache>
            </c:strRef>
          </c:cat>
          <c:val>
            <c:numRef>
              <c:f>'Pivot Analysis'!$B$117:$B$124</c:f>
              <c:numCache>
                <c:formatCode>General</c:formatCode>
                <c:ptCount val="7"/>
                <c:pt idx="0">
                  <c:v>3.1343173497748973</c:v>
                </c:pt>
                <c:pt idx="1">
                  <c:v>4.4257151548708027</c:v>
                </c:pt>
                <c:pt idx="2">
                  <c:v>11.208233742428629</c:v>
                </c:pt>
                <c:pt idx="3">
                  <c:v>9.5271644417400836</c:v>
                </c:pt>
                <c:pt idx="4">
                  <c:v>2.6655545188318999</c:v>
                </c:pt>
                <c:pt idx="5">
                  <c:v>3.9744618758346832</c:v>
                </c:pt>
                <c:pt idx="6">
                  <c:v>15.535422734466062</c:v>
                </c:pt>
              </c:numCache>
            </c:numRef>
          </c:val>
          <c:extLst>
            <c:ext xmlns:c16="http://schemas.microsoft.com/office/drawing/2014/chart" uri="{C3380CC4-5D6E-409C-BE32-E72D297353CC}">
              <c16:uniqueId val="{00000000-334C-4C13-991E-72CBB6D333CE}"/>
            </c:ext>
          </c:extLst>
        </c:ser>
        <c:dLbls>
          <c:showLegendKey val="0"/>
          <c:showVal val="0"/>
          <c:showCatName val="0"/>
          <c:showSerName val="0"/>
          <c:showPercent val="0"/>
          <c:showBubbleSize val="0"/>
        </c:dLbls>
        <c:gapWidth val="219"/>
        <c:overlap val="-27"/>
        <c:axId val="805310799"/>
        <c:axId val="805348719"/>
      </c:barChart>
      <c:lineChart>
        <c:grouping val="standard"/>
        <c:varyColors val="0"/>
        <c:ser>
          <c:idx val="1"/>
          <c:order val="1"/>
          <c:tx>
            <c:strRef>
              <c:f>'Pivot Analysis'!$C$116</c:f>
              <c:strCache>
                <c:ptCount val="1"/>
                <c:pt idx="0">
                  <c:v>Average of Cost of Living </c:v>
                </c:pt>
              </c:strCache>
            </c:strRef>
          </c:tx>
          <c:spPr>
            <a:ln w="28575" cap="rnd">
              <a:solidFill>
                <a:schemeClr val="accent2"/>
              </a:solidFill>
              <a:round/>
            </a:ln>
            <a:effectLst/>
          </c:spPr>
          <c:marker>
            <c:symbol val="none"/>
          </c:marker>
          <c:cat>
            <c:strRef>
              <c:f>'Pivot Analysis'!$A$117:$A$124</c:f>
              <c:strCache>
                <c:ptCount val="7"/>
                <c:pt idx="0">
                  <c:v>East Asia &amp; Pacific</c:v>
                </c:pt>
                <c:pt idx="1">
                  <c:v>Europe &amp; Central Asia</c:v>
                </c:pt>
                <c:pt idx="2">
                  <c:v>Latin America &amp; Caribbean </c:v>
                </c:pt>
                <c:pt idx="3">
                  <c:v>Middle East, North Africa, Afghanistan &amp; Pakistan</c:v>
                </c:pt>
                <c:pt idx="4">
                  <c:v>North America</c:v>
                </c:pt>
                <c:pt idx="5">
                  <c:v>South Asia</c:v>
                </c:pt>
                <c:pt idx="6">
                  <c:v>Sub-Saharan Africa </c:v>
                </c:pt>
              </c:strCache>
            </c:strRef>
          </c:cat>
          <c:val>
            <c:numRef>
              <c:f>'Pivot Analysis'!$C$117:$C$124</c:f>
              <c:numCache>
                <c:formatCode>General</c:formatCode>
                <c:ptCount val="7"/>
                <c:pt idx="0">
                  <c:v>57.509090909090901</c:v>
                </c:pt>
                <c:pt idx="1">
                  <c:v>66.646153846153851</c:v>
                </c:pt>
                <c:pt idx="2">
                  <c:v>59.79999999999999</c:v>
                </c:pt>
                <c:pt idx="3">
                  <c:v>61.287500000000001</c:v>
                </c:pt>
                <c:pt idx="4">
                  <c:v>69.849999999999994</c:v>
                </c:pt>
                <c:pt idx="5">
                  <c:v>48.325000000000003</c:v>
                </c:pt>
                <c:pt idx="6">
                  <c:v>45.5</c:v>
                </c:pt>
              </c:numCache>
            </c:numRef>
          </c:val>
          <c:smooth val="0"/>
          <c:extLst>
            <c:ext xmlns:c16="http://schemas.microsoft.com/office/drawing/2014/chart" uri="{C3380CC4-5D6E-409C-BE32-E72D297353CC}">
              <c16:uniqueId val="{00000001-334C-4C13-991E-72CBB6D333CE}"/>
            </c:ext>
          </c:extLst>
        </c:ser>
        <c:dLbls>
          <c:showLegendKey val="0"/>
          <c:showVal val="0"/>
          <c:showCatName val="0"/>
          <c:showSerName val="0"/>
          <c:showPercent val="0"/>
          <c:showBubbleSize val="0"/>
        </c:dLbls>
        <c:marker val="1"/>
        <c:smooth val="0"/>
        <c:axId val="660925039"/>
        <c:axId val="660937999"/>
      </c:lineChart>
      <c:catAx>
        <c:axId val="8053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5348719"/>
        <c:crosses val="autoZero"/>
        <c:auto val="1"/>
        <c:lblAlgn val="ctr"/>
        <c:lblOffset val="100"/>
        <c:noMultiLvlLbl val="0"/>
      </c:catAx>
      <c:valAx>
        <c:axId val="80534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05310799"/>
        <c:crosses val="autoZero"/>
        <c:crossBetween val="between"/>
      </c:valAx>
      <c:valAx>
        <c:axId val="660937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0925039"/>
        <c:crosses val="max"/>
        <c:crossBetween val="between"/>
      </c:valAx>
      <c:catAx>
        <c:axId val="660925039"/>
        <c:scaling>
          <c:orientation val="minMax"/>
        </c:scaling>
        <c:delete val="1"/>
        <c:axPos val="b"/>
        <c:numFmt formatCode="General" sourceLinked="1"/>
        <c:majorTickMark val="out"/>
        <c:minorTickMark val="none"/>
        <c:tickLblPos val="nextTo"/>
        <c:crossAx val="6609379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Relationship</a:t>
            </a:r>
            <a:r>
              <a:rPr lang="en-US" sz="1200" b="1" baseline="0">
                <a:latin typeface="Times New Roman" panose="02020603050405020304" pitchFamily="18" charset="0"/>
                <a:cs typeface="Times New Roman" panose="02020603050405020304" pitchFamily="18" charset="0"/>
              </a:rPr>
              <a:t> Between Inflation and Cost of Living</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958065448240987E-2"/>
          <c:y val="0.10562124649673028"/>
          <c:w val="0.78380673801243561"/>
          <c:h val="0.76852480789298927"/>
        </c:manualLayout>
      </c:layout>
      <c:scatterChart>
        <c:scatterStyle val="lineMarker"/>
        <c:varyColors val="0"/>
        <c:ser>
          <c:idx val="0"/>
          <c:order val="0"/>
          <c:tx>
            <c:strRef>
              <c:f>'Global Inflation Cost of Living'!$J$1</c:f>
              <c:strCache>
                <c:ptCount val="1"/>
                <c:pt idx="0">
                  <c:v>Cost of Living Index</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4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9A-4621-BD11-E3F6AB4A66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olid"/>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'Global Inflation Cost of Living'!$I$2:$I$218</c:f>
              <c:numCache>
                <c:formatCode>General</c:formatCode>
                <c:ptCount val="217"/>
                <c:pt idx="0">
                  <c:v>0</c:v>
                </c:pt>
                <c:pt idx="1">
                  <c:v>1.0623404197659501</c:v>
                </c:pt>
                <c:pt idx="2">
                  <c:v>2.3895112359501698</c:v>
                </c:pt>
                <c:pt idx="3">
                  <c:v>5.8568384997007197</c:v>
                </c:pt>
                <c:pt idx="4">
                  <c:v>1.4464366430616</c:v>
                </c:pt>
                <c:pt idx="5">
                  <c:v>2.9495252048520699</c:v>
                </c:pt>
                <c:pt idx="6">
                  <c:v>3.14530134431081</c:v>
                </c:pt>
                <c:pt idx="7">
                  <c:v>1.66336510224894</c:v>
                </c:pt>
                <c:pt idx="8">
                  <c:v>1.3722004976892599</c:v>
                </c:pt>
                <c:pt idx="9">
                  <c:v>1.2673431029237501</c:v>
                </c:pt>
                <c:pt idx="10">
                  <c:v>3.16656665428797</c:v>
                </c:pt>
                <c:pt idx="11">
                  <c:v>2.1134499957731698</c:v>
                </c:pt>
                <c:pt idx="12">
                  <c:v>1.68792112375809</c:v>
                </c:pt>
                <c:pt idx="13">
                  <c:v>3.2715729463591998</c:v>
                </c:pt>
                <c:pt idx="14">
                  <c:v>2.8985507246376199</c:v>
                </c:pt>
                <c:pt idx="15">
                  <c:v>2.9227978230195699</c:v>
                </c:pt>
                <c:pt idx="16">
                  <c:v>2.3815838328117298</c:v>
                </c:pt>
                <c:pt idx="17">
                  <c:v>0.91963545981765105</c:v>
                </c:pt>
                <c:pt idx="18">
                  <c:v>1.9990494229146301</c:v>
                </c:pt>
                <c:pt idx="19">
                  <c:v>0.59358923624846904</c:v>
                </c:pt>
                <c:pt idx="20">
                  <c:v>2.2564981433876001</c:v>
                </c:pt>
                <c:pt idx="21">
                  <c:v>2.73853681635241</c:v>
                </c:pt>
                <c:pt idx="22">
                  <c:v>0.98237302306141705</c:v>
                </c:pt>
                <c:pt idx="23">
                  <c:v>2.7471478866179999</c:v>
                </c:pt>
                <c:pt idx="24">
                  <c:v>2.4161318779187599</c:v>
                </c:pt>
                <c:pt idx="25">
                  <c:v>2.7410187567948601</c:v>
                </c:pt>
                <c:pt idx="26">
                  <c:v>1.834100204499</c:v>
                </c:pt>
                <c:pt idx="27">
                  <c:v>3.7906089763019701</c:v>
                </c:pt>
                <c:pt idx="28">
                  <c:v>0.39833333333342202</c:v>
                </c:pt>
                <c:pt idx="29">
                  <c:v>-0.42936004906973002</c:v>
                </c:pt>
                <c:pt idx="30">
                  <c:v>4.7222558845293197</c:v>
                </c:pt>
                <c:pt idx="31">
                  <c:v>4.6850965426576998</c:v>
                </c:pt>
                <c:pt idx="32">
                  <c:v>4.3674640765233699</c:v>
                </c:pt>
                <c:pt idx="33">
                  <c:v>4.3611524651896199</c:v>
                </c:pt>
                <c:pt idx="34">
                  <c:v>0.80804201653665397</c:v>
                </c:pt>
                <c:pt idx="35">
                  <c:v>0.21812893843917699</c:v>
                </c:pt>
                <c:pt idx="36">
                  <c:v>0</c:v>
                </c:pt>
                <c:pt idx="37">
                  <c:v>4.9530355097366101</c:v>
                </c:pt>
                <c:pt idx="38">
                  <c:v>6.1977990165841996</c:v>
                </c:pt>
                <c:pt idx="39">
                  <c:v>2.1815127361518898</c:v>
                </c:pt>
                <c:pt idx="40">
                  <c:v>3.21260487006347</c:v>
                </c:pt>
                <c:pt idx="41">
                  <c:v>12.632531853045201</c:v>
                </c:pt>
                <c:pt idx="42">
                  <c:v>33.241659055274901</c:v>
                </c:pt>
                <c:pt idx="43">
                  <c:v>10.4657482763412</c:v>
                </c:pt>
                <c:pt idx="44">
                  <c:v>-6.6011856407372598</c:v>
                </c:pt>
                <c:pt idx="45">
                  <c:v>219.883929014578</c:v>
                </c:pt>
                <c:pt idx="46">
                  <c:v>138.80846024176</c:v>
                </c:pt>
                <c:pt idx="47">
                  <c:v>104.70517062866701</c:v>
                </c:pt>
                <c:pt idx="48">
                  <c:v>91.440822076904595</c:v>
                </c:pt>
                <c:pt idx="49">
                  <c:v>58.506450730034203</c:v>
                </c:pt>
                <c:pt idx="50">
                  <c:v>53.669145830378199</c:v>
                </c:pt>
                <c:pt idx="51">
                  <c:v>45.243042271671797</c:v>
                </c:pt>
                <c:pt idx="52">
                  <c:v>32.455871402916998</c:v>
                </c:pt>
                <c:pt idx="53">
                  <c:v>32.179650422502498</c:v>
                </c:pt>
                <c:pt idx="54">
                  <c:v>28.633750001411499</c:v>
                </c:pt>
                <c:pt idx="55">
                  <c:v>28.270589932208299</c:v>
                </c:pt>
                <c:pt idx="56">
                  <c:v>28.2404948915772</c:v>
                </c:pt>
                <c:pt idx="57">
                  <c:v>26.9490564091987</c:v>
                </c:pt>
                <c:pt idx="58">
                  <c:v>23.130569594258802</c:v>
                </c:pt>
                <c:pt idx="59">
                  <c:v>22.848328115784199</c:v>
                </c:pt>
                <c:pt idx="60">
                  <c:v>21.037746057771098</c:v>
                </c:pt>
                <c:pt idx="61">
                  <c:v>20.212492502784698</c:v>
                </c:pt>
                <c:pt idx="62">
                  <c:v>16.229615913027899</c:v>
                </c:pt>
                <c:pt idx="63">
                  <c:v>14.9856262747939</c:v>
                </c:pt>
                <c:pt idx="64">
                  <c:v>14.3519273571008</c:v>
                </c:pt>
                <c:pt idx="65">
                  <c:v>11.561053289751101</c:v>
                </c:pt>
                <c:pt idx="66">
                  <c:v>9.6282546595668208</c:v>
                </c:pt>
                <c:pt idx="67">
                  <c:v>9.07151997725013</c:v>
                </c:pt>
                <c:pt idx="68">
                  <c:v>8.8995073226375396</c:v>
                </c:pt>
                <c:pt idx="69">
                  <c:v>8.69082156104494</c:v>
                </c:pt>
                <c:pt idx="70">
                  <c:v>8.4348641049672306</c:v>
                </c:pt>
                <c:pt idx="71">
                  <c:v>8.2149743911896405</c:v>
                </c:pt>
                <c:pt idx="72">
                  <c:v>8.1231391494859597</c:v>
                </c:pt>
                <c:pt idx="73">
                  <c:v>7.61335784313723</c:v>
                </c:pt>
                <c:pt idx="74">
                  <c:v>7.20661657168794</c:v>
                </c:pt>
                <c:pt idx="75">
                  <c:v>6.6090859372822797</c:v>
                </c:pt>
                <c:pt idx="76">
                  <c:v>6.5019846466925397</c:v>
                </c:pt>
                <c:pt idx="77">
                  <c:v>6.1988669884211598</c:v>
                </c:pt>
                <c:pt idx="78">
                  <c:v>6.1059011284827998</c:v>
                </c:pt>
                <c:pt idx="79">
                  <c:v>6.10544624245032</c:v>
                </c:pt>
                <c:pt idx="80">
                  <c:v>5.7853191042800498</c:v>
                </c:pt>
                <c:pt idx="81">
                  <c:v>5.7214057435443904</c:v>
                </c:pt>
                <c:pt idx="82">
                  <c:v>5.4119444798165901</c:v>
                </c:pt>
                <c:pt idx="83">
                  <c:v>5.4087437547906703</c:v>
                </c:pt>
                <c:pt idx="84">
                  <c:v>5.0997656831742697</c:v>
                </c:pt>
                <c:pt idx="85">
                  <c:v>5.0519260958821803</c:v>
                </c:pt>
                <c:pt idx="86">
                  <c:v>4.9976070120732299</c:v>
                </c:pt>
                <c:pt idx="87">
                  <c:v>4.8491436661315603</c:v>
                </c:pt>
                <c:pt idx="88">
                  <c:v>4.6777351600704797</c:v>
                </c:pt>
                <c:pt idx="89">
                  <c:v>4.6705297488996997</c:v>
                </c:pt>
                <c:pt idx="90">
                  <c:v>4.6247384105714104</c:v>
                </c:pt>
                <c:pt idx="91">
                  <c:v>4.6062109812710101</c:v>
                </c:pt>
                <c:pt idx="92">
                  <c:v>4.53331349711606</c:v>
                </c:pt>
                <c:pt idx="93">
                  <c:v>4.4897885424344803</c:v>
                </c:pt>
                <c:pt idx="94">
                  <c:v>4.3218394838803302</c:v>
                </c:pt>
                <c:pt idx="95">
                  <c:v>4.2976389157252397</c:v>
                </c:pt>
                <c:pt idx="96">
                  <c:v>4.23903922877036</c:v>
                </c:pt>
                <c:pt idx="97">
                  <c:v>4.1908172134452304</c:v>
                </c:pt>
                <c:pt idx="98">
                  <c:v>4.0785683481202204</c:v>
                </c:pt>
                <c:pt idx="99">
                  <c:v>4.0461145531343403</c:v>
                </c:pt>
                <c:pt idx="100">
                  <c:v>3.8908423788410502</c:v>
                </c:pt>
                <c:pt idx="101">
                  <c:v>3.83540271728533</c:v>
                </c:pt>
                <c:pt idx="102">
                  <c:v>3.7655582577011399</c:v>
                </c:pt>
                <c:pt idx="103">
                  <c:v>3.70370370370369</c:v>
                </c:pt>
                <c:pt idx="104">
                  <c:v>3.6277073694092699</c:v>
                </c:pt>
                <c:pt idx="105">
                  <c:v>3.6210927388584402</c:v>
                </c:pt>
                <c:pt idx="106">
                  <c:v>3.6045220384796002</c:v>
                </c:pt>
                <c:pt idx="107">
                  <c:v>3.5571123084824299</c:v>
                </c:pt>
                <c:pt idx="108">
                  <c:v>3.5194118998391999</c:v>
                </c:pt>
                <c:pt idx="109">
                  <c:v>3.4897408602695399</c:v>
                </c:pt>
                <c:pt idx="110">
                  <c:v>3.4505302813101899</c:v>
                </c:pt>
                <c:pt idx="111">
                  <c:v>3.34754304219953</c:v>
                </c:pt>
                <c:pt idx="112">
                  <c:v>3.3367500928228102</c:v>
                </c:pt>
                <c:pt idx="113">
                  <c:v>3.32338033691819</c:v>
                </c:pt>
                <c:pt idx="114">
                  <c:v>3.3022333895122702</c:v>
                </c:pt>
                <c:pt idx="115">
                  <c:v>3.2895598595276798</c:v>
                </c:pt>
                <c:pt idx="116">
                  <c:v>3.2063986409965999</c:v>
                </c:pt>
                <c:pt idx="117">
                  <c:v>3.1818892423747198</c:v>
                </c:pt>
                <c:pt idx="118">
                  <c:v>3.1434913650004099</c:v>
                </c:pt>
                <c:pt idx="119">
                  <c:v>3.0914363091916601</c:v>
                </c:pt>
                <c:pt idx="120">
                  <c:v>3.0748088980502501</c:v>
                </c:pt>
                <c:pt idx="121">
                  <c:v>3.0569467631237299</c:v>
                </c:pt>
                <c:pt idx="122">
                  <c:v>2.9720047764362598</c:v>
                </c:pt>
                <c:pt idx="123">
                  <c:v>2.9379157427937601</c:v>
                </c:pt>
                <c:pt idx="124">
                  <c:v>2.9214022730910298</c:v>
                </c:pt>
                <c:pt idx="125">
                  <c:v>2.90379501424778</c:v>
                </c:pt>
                <c:pt idx="126">
                  <c:v>2.8699275291829398</c:v>
                </c:pt>
                <c:pt idx="127">
                  <c:v>2.8626207408980102</c:v>
                </c:pt>
                <c:pt idx="128">
                  <c:v>2.8358165822403398</c:v>
                </c:pt>
                <c:pt idx="129">
                  <c:v>2.8183513167625098</c:v>
                </c:pt>
                <c:pt idx="130">
                  <c:v>2.7613156962409802</c:v>
                </c:pt>
                <c:pt idx="131">
                  <c:v>2.75760909424279</c:v>
                </c:pt>
                <c:pt idx="132">
                  <c:v>2.7362075187331301</c:v>
                </c:pt>
                <c:pt idx="133">
                  <c:v>2.6116961151764002</c:v>
                </c:pt>
                <c:pt idx="134">
                  <c:v>2.4916434748197198</c:v>
                </c:pt>
                <c:pt idx="135">
                  <c:v>2.4554507215902799</c:v>
                </c:pt>
                <c:pt idx="136">
                  <c:v>2.44651943006079</c:v>
                </c:pt>
                <c:pt idx="137">
                  <c:v>2.4353120243531401</c:v>
                </c:pt>
                <c:pt idx="138">
                  <c:v>2.3217432864354199</c:v>
                </c:pt>
                <c:pt idx="139">
                  <c:v>2.2317277292170399</c:v>
                </c:pt>
                <c:pt idx="140">
                  <c:v>2.2158737508999198</c:v>
                </c:pt>
                <c:pt idx="141">
                  <c:v>2.2121718891990101</c:v>
                </c:pt>
                <c:pt idx="142">
                  <c:v>2.1724553051437701</c:v>
                </c:pt>
                <c:pt idx="143">
                  <c:v>2.12615766885021</c:v>
                </c:pt>
                <c:pt idx="144">
                  <c:v>2.1120116728496998</c:v>
                </c:pt>
                <c:pt idx="145">
                  <c:v>2.0628415300546799</c:v>
                </c:pt>
                <c:pt idx="146">
                  <c:v>2.0511326995485901</c:v>
                </c:pt>
                <c:pt idx="147">
                  <c:v>2.0077073941271202</c:v>
                </c:pt>
                <c:pt idx="148">
                  <c:v>1.9656265643250499</c:v>
                </c:pt>
                <c:pt idx="149">
                  <c:v>1.8002301862482399</c:v>
                </c:pt>
                <c:pt idx="150">
                  <c:v>1.77029240198635</c:v>
                </c:pt>
                <c:pt idx="151">
                  <c:v>1.7297211910591399</c:v>
                </c:pt>
                <c:pt idx="152">
                  <c:v>1.6507946928310899</c:v>
                </c:pt>
                <c:pt idx="153">
                  <c:v>1.61944994559476</c:v>
                </c:pt>
                <c:pt idx="154">
                  <c:v>1.5656890623161599</c:v>
                </c:pt>
                <c:pt idx="155">
                  <c:v>1.55659611283953</c:v>
                </c:pt>
                <c:pt idx="156">
                  <c:v>1.54732515615369</c:v>
                </c:pt>
                <c:pt idx="157">
                  <c:v>1.47733600718744</c:v>
                </c:pt>
                <c:pt idx="158">
                  <c:v>1.4109352791013401</c:v>
                </c:pt>
                <c:pt idx="159">
                  <c:v>1.2657988582872901</c:v>
                </c:pt>
                <c:pt idx="160">
                  <c:v>1.24216507945569</c:v>
                </c:pt>
                <c:pt idx="161">
                  <c:v>1.17311998381218</c:v>
                </c:pt>
                <c:pt idx="162">
                  <c:v>1.16093089640415</c:v>
                </c:pt>
                <c:pt idx="163">
                  <c:v>1.1434894872741199</c:v>
                </c:pt>
                <c:pt idx="164">
                  <c:v>1.10971758022096</c:v>
                </c:pt>
                <c:pt idx="165">
                  <c:v>1.08615365134737</c:v>
                </c:pt>
                <c:pt idx="166">
                  <c:v>1.0481700109196499</c:v>
                </c:pt>
                <c:pt idx="167">
                  <c:v>0.98525659200450699</c:v>
                </c:pt>
                <c:pt idx="168">
                  <c:v>0.85378229256728799</c:v>
                </c:pt>
                <c:pt idx="169">
                  <c:v>0.80450329879243798</c:v>
                </c:pt>
                <c:pt idx="170">
                  <c:v>0.71573583522872297</c:v>
                </c:pt>
                <c:pt idx="171">
                  <c:v>0.69322555100446004</c:v>
                </c:pt>
                <c:pt idx="172">
                  <c:v>0.67249859885436503</c:v>
                </c:pt>
                <c:pt idx="173">
                  <c:v>0.60240392110791696</c:v>
                </c:pt>
                <c:pt idx="174">
                  <c:v>0.52688462577683903</c:v>
                </c:pt>
                <c:pt idx="175">
                  <c:v>0.40916248908328601</c:v>
                </c:pt>
                <c:pt idx="176">
                  <c:v>0.31172605091966799</c:v>
                </c:pt>
                <c:pt idx="177">
                  <c:v>0.26951197825912498</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-0.38867416503646102</c:v>
                </c:pt>
                <c:pt idx="215">
                  <c:v>-0.41285300104706901</c:v>
                </c:pt>
                <c:pt idx="216">
                  <c:v>-0.67424085341877904</c:v>
                </c:pt>
              </c:numCache>
            </c:numRef>
          </c:xVal>
          <c:yVal>
            <c:numRef>
              <c:f>'Global Inflation Cost of Living'!$J$2:$J$218</c:f>
              <c:numCache>
                <c:formatCode>General</c:formatCode>
                <c:ptCount val="217"/>
                <c:pt idx="0">
                  <c:v>94.3</c:v>
                </c:pt>
                <c:pt idx="1">
                  <c:v>82.3</c:v>
                </c:pt>
                <c:pt idx="2">
                  <c:v>80.900000000000006</c:v>
                </c:pt>
                <c:pt idx="3">
                  <c:v>78.2</c:v>
                </c:pt>
                <c:pt idx="4">
                  <c:v>75.2</c:v>
                </c:pt>
                <c:pt idx="5">
                  <c:v>74.3</c:v>
                </c:pt>
                <c:pt idx="6">
                  <c:v>73.8</c:v>
                </c:pt>
                <c:pt idx="7">
                  <c:v>72.400000000000006</c:v>
                </c:pt>
                <c:pt idx="8">
                  <c:v>72.099999999999994</c:v>
                </c:pt>
                <c:pt idx="9">
                  <c:v>70.8</c:v>
                </c:pt>
                <c:pt idx="10">
                  <c:v>69.5</c:v>
                </c:pt>
                <c:pt idx="11">
                  <c:v>68.900000000000006</c:v>
                </c:pt>
                <c:pt idx="12">
                  <c:v>68.2</c:v>
                </c:pt>
                <c:pt idx="13">
                  <c:v>67.8</c:v>
                </c:pt>
                <c:pt idx="14">
                  <c:v>67.5</c:v>
                </c:pt>
                <c:pt idx="15">
                  <c:v>66.2</c:v>
                </c:pt>
                <c:pt idx="16">
                  <c:v>65.400000000000006</c:v>
                </c:pt>
                <c:pt idx="17">
                  <c:v>65.2</c:v>
                </c:pt>
                <c:pt idx="18">
                  <c:v>64.8</c:v>
                </c:pt>
                <c:pt idx="19">
                  <c:v>64.8</c:v>
                </c:pt>
                <c:pt idx="20">
                  <c:v>64.099999999999994</c:v>
                </c:pt>
                <c:pt idx="21">
                  <c:v>63.2</c:v>
                </c:pt>
                <c:pt idx="22">
                  <c:v>62.5</c:v>
                </c:pt>
                <c:pt idx="23">
                  <c:v>60.8</c:v>
                </c:pt>
                <c:pt idx="24">
                  <c:v>58.2</c:v>
                </c:pt>
                <c:pt idx="25">
                  <c:v>57.1</c:v>
                </c:pt>
                <c:pt idx="26">
                  <c:v>56.8</c:v>
                </c:pt>
                <c:pt idx="27">
                  <c:v>55.8</c:v>
                </c:pt>
                <c:pt idx="28">
                  <c:v>55.2</c:v>
                </c:pt>
                <c:pt idx="29">
                  <c:v>53.8</c:v>
                </c:pt>
                <c:pt idx="30">
                  <c:v>52.8</c:v>
                </c:pt>
                <c:pt idx="31">
                  <c:v>51.5</c:v>
                </c:pt>
                <c:pt idx="32">
                  <c:v>51.4</c:v>
                </c:pt>
                <c:pt idx="33">
                  <c:v>50.2</c:v>
                </c:pt>
                <c:pt idx="34">
                  <c:v>50.2</c:v>
                </c:pt>
                <c:pt idx="35">
                  <c:v>49.8</c:v>
                </c:pt>
                <c:pt idx="36">
                  <c:v>48.8</c:v>
                </c:pt>
                <c:pt idx="37">
                  <c:v>48.5</c:v>
                </c:pt>
                <c:pt idx="38">
                  <c:v>47.5</c:v>
                </c:pt>
                <c:pt idx="39">
                  <c:v>47.2</c:v>
                </c:pt>
                <c:pt idx="40">
                  <c:v>46.1</c:v>
                </c:pt>
                <c:pt idx="41">
                  <c:v>43.2</c:v>
                </c:pt>
                <c:pt idx="42">
                  <c:v>40.799999999999997</c:v>
                </c:pt>
                <c:pt idx="43">
                  <c:v>39.5</c:v>
                </c:pt>
                <c:pt idx="44">
                  <c:v>38.200000000000003</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numCache>
            </c:numRef>
          </c:yVal>
          <c:smooth val="0"/>
          <c:extLst>
            <c:ext xmlns:c16="http://schemas.microsoft.com/office/drawing/2014/chart" uri="{C3380CC4-5D6E-409C-BE32-E72D297353CC}">
              <c16:uniqueId val="{00000002-249A-4621-BD11-E3F6AB4A66EC}"/>
            </c:ext>
          </c:extLst>
        </c:ser>
        <c:dLbls>
          <c:showLegendKey val="0"/>
          <c:showVal val="0"/>
          <c:showCatName val="0"/>
          <c:showSerName val="0"/>
          <c:showPercent val="0"/>
          <c:showBubbleSize val="0"/>
        </c:dLbls>
        <c:axId val="1446101807"/>
        <c:axId val="1446099407"/>
      </c:scatterChart>
      <c:valAx>
        <c:axId val="14461018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Inflation</a:t>
                </a:r>
                <a:r>
                  <a:rPr lang="en-US" sz="1200" b="1" baseline="0">
                    <a:latin typeface="Times New Roman" panose="02020603050405020304" pitchFamily="18" charset="0"/>
                    <a:cs typeface="Times New Roman" panose="02020603050405020304" pitchFamily="18" charset="0"/>
                  </a:rPr>
                  <a:t> Rate</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099407"/>
        <c:crosses val="autoZero"/>
        <c:crossBetween val="midCat"/>
      </c:valAx>
      <c:valAx>
        <c:axId val="144609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Cost</a:t>
                </a:r>
                <a:r>
                  <a:rPr lang="en-US" sz="1200" b="1" baseline="0">
                    <a:latin typeface="Times New Roman" panose="02020603050405020304" pitchFamily="18" charset="0"/>
                    <a:cs typeface="Times New Roman" panose="02020603050405020304" pitchFamily="18" charset="0"/>
                  </a:rPr>
                  <a:t> of Living</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01807"/>
        <c:crosses val="autoZero"/>
        <c:crossBetween val="midCat"/>
      </c:valAx>
      <c:spPr>
        <a:noFill/>
        <a:ln>
          <a:noFill/>
        </a:ln>
        <a:effectLst/>
      </c:spPr>
    </c:plotArea>
    <c:legend>
      <c:legendPos val="r"/>
      <c:layout>
        <c:manualLayout>
          <c:xMode val="edge"/>
          <c:yMode val="edge"/>
          <c:x val="0.7903151787467011"/>
          <c:y val="0.15952484387727398"/>
          <c:w val="0.16153681305300754"/>
          <c:h val="0.40183866847152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jpe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12700</xdr:colOff>
      <xdr:row>3</xdr:row>
      <xdr:rowOff>57150</xdr:rowOff>
    </xdr:from>
    <xdr:to>
      <xdr:col>10</xdr:col>
      <xdr:colOff>38100</xdr:colOff>
      <xdr:row>18</xdr:row>
      <xdr:rowOff>69850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1333500</xdr:colOff>
      <xdr:row>24</xdr:row>
      <xdr:rowOff>203200</xdr:rowOff>
    </xdr:from>
    <xdr:to>
      <xdr:col>10</xdr:col>
      <xdr:colOff>469900</xdr:colOff>
      <xdr:row>39</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44</xdr:row>
      <xdr:rowOff>19050</xdr:rowOff>
    </xdr:from>
    <xdr:to>
      <xdr:col>10</xdr:col>
      <xdr:colOff>355600</xdr:colOff>
      <xdr:row>58</xdr:row>
      <xdr:rowOff>133350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25400</xdr:colOff>
      <xdr:row>65</xdr:row>
      <xdr:rowOff>107950</xdr:rowOff>
    </xdr:from>
    <xdr:to>
      <xdr:col>10</xdr:col>
      <xdr:colOff>38100</xdr:colOff>
      <xdr:row>83</xdr:row>
      <xdr:rowOff>171450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xdr:colOff>
      <xdr:row>91</xdr:row>
      <xdr:rowOff>146050</xdr:rowOff>
    </xdr:from>
    <xdr:to>
      <xdr:col>10</xdr:col>
      <xdr:colOff>38100</xdr:colOff>
      <xdr:row>110</xdr:row>
      <xdr:rowOff>57150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495300</xdr:colOff>
      <xdr:row>115</xdr:row>
      <xdr:rowOff>6350</xdr:rowOff>
    </xdr:from>
    <xdr:to>
      <xdr:col>10</xdr:col>
      <xdr:colOff>304800</xdr:colOff>
      <xdr:row>133</xdr:row>
      <xdr:rowOff>25400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171450</xdr:colOff>
      <xdr:row>115</xdr:row>
      <xdr:rowOff>101600</xdr:rowOff>
    </xdr:from>
    <xdr:to>
      <xdr:col>14</xdr:col>
      <xdr:colOff>6350</xdr:colOff>
      <xdr:row>129</xdr:row>
      <xdr:rowOff>47625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03100" y="21602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368300</xdr:colOff>
      <xdr:row>91</xdr:row>
      <xdr:rowOff>120650</xdr:rowOff>
    </xdr:from>
    <xdr:to>
      <xdr:col>13</xdr:col>
      <xdr:colOff>107950</xdr:colOff>
      <xdr:row>105</xdr:row>
      <xdr:rowOff>66675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595100" y="17157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10</xdr:row>
      <xdr:rowOff>158751</xdr:rowOff>
    </xdr:from>
    <xdr:to>
      <xdr:col>1</xdr:col>
      <xdr:colOff>933450</xdr:colOff>
      <xdr:row>18</xdr:row>
      <xdr:rowOff>158750</xdr:rowOff>
    </xdr:to>
    <mc:AlternateContent xmlns:mc="http://schemas.openxmlformats.org/markup-compatibility/2006" xmlns:a14="http://schemas.microsoft.com/office/drawing/2010/main">
      <mc:Choice Requires="a14">
        <xdr:graphicFrame macro="">
          <xdr:nvGraphicFramePr>
            <xdr:cNvPr id="13" name="Inflation Year">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Inflation Year"/>
            </a:graphicData>
          </a:graphic>
        </xdr:graphicFrame>
      </mc:Choice>
      <mc:Fallback xmlns="">
        <xdr:sp macro="" textlink="">
          <xdr:nvSpPr>
            <xdr:cNvPr id="0" name=""/>
            <xdr:cNvSpPr>
              <a:spLocks noTextEdit="1"/>
            </xdr:cNvSpPr>
          </xdr:nvSpPr>
          <xdr:spPr>
            <a:xfrm>
              <a:off x="133350" y="1847851"/>
              <a:ext cx="1828800" cy="164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44450</xdr:colOff>
      <xdr:row>26</xdr:row>
      <xdr:rowOff>12700</xdr:rowOff>
    </xdr:from>
    <xdr:to>
      <xdr:col>15</xdr:col>
      <xdr:colOff>44450</xdr:colOff>
      <xdr:row>39</xdr:row>
      <xdr:rowOff>142875</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61097E60-73CB-D319-7353-B84BEF37E69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766550" y="495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26</xdr:row>
      <xdr:rowOff>222250</xdr:rowOff>
    </xdr:from>
    <xdr:to>
      <xdr:col>8</xdr:col>
      <xdr:colOff>584200</xdr:colOff>
      <xdr:row>44</xdr:row>
      <xdr:rowOff>38100</xdr:rowOff>
    </xdr:to>
    <xdr:graphicFrame macro="">
      <xdr:nvGraphicFramePr>
        <xdr:cNvPr id="2" name="Chart 1">
          <a:extLst>
            <a:ext uri="{FF2B5EF4-FFF2-40B4-BE49-F238E27FC236}">
              <a16:creationId xmlns:a16="http://schemas.microsoft.com/office/drawing/2014/main" id="{A79B75AE-326A-4AC3-8B4A-EAF428BD1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0.37523</cdr:x>
      <cdr:y>0.25149</cdr:y>
    </cdr:from>
    <cdr:to>
      <cdr:x>0.69316</cdr:x>
      <cdr:y>0.40396</cdr:y>
    </cdr:to>
    <cdr:sp macro="" textlink="">
      <cdr:nvSpPr>
        <cdr:cNvPr id="2" name="TextBox 1">
          <a:extLst xmlns:a="http://schemas.openxmlformats.org/drawingml/2006/main">
            <a:ext uri="{FF2B5EF4-FFF2-40B4-BE49-F238E27FC236}">
              <a16:creationId xmlns:a16="http://schemas.microsoft.com/office/drawing/2014/main" id="{9D43E436-DBAF-4876-C64B-91363C3C3E4C}"/>
            </a:ext>
          </a:extLst>
        </cdr:cNvPr>
        <cdr:cNvSpPr txBox="1"/>
      </cdr:nvSpPr>
      <cdr:spPr>
        <a:xfrm xmlns:a="http://schemas.openxmlformats.org/drawingml/2006/main">
          <a:off x="2578100" y="806450"/>
          <a:ext cx="2184400" cy="488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0.3854</cdr:x>
      <cdr:y>0.34653</cdr:y>
    </cdr:from>
    <cdr:to>
      <cdr:x>0.65434</cdr:x>
      <cdr:y>0.47129</cdr:y>
    </cdr:to>
    <cdr:sp macro="" textlink="">
      <cdr:nvSpPr>
        <cdr:cNvPr id="3" name="TextBox 2">
          <a:extLst xmlns:a="http://schemas.openxmlformats.org/drawingml/2006/main">
            <a:ext uri="{FF2B5EF4-FFF2-40B4-BE49-F238E27FC236}">
              <a16:creationId xmlns:a16="http://schemas.microsoft.com/office/drawing/2014/main" id="{AE81E494-55AA-5B7B-6116-E8B85AA2C3A2}"/>
            </a:ext>
          </a:extLst>
        </cdr:cNvPr>
        <cdr:cNvSpPr txBox="1"/>
      </cdr:nvSpPr>
      <cdr:spPr>
        <a:xfrm xmlns:a="http://schemas.openxmlformats.org/drawingml/2006/main">
          <a:off x="2647950" y="1111250"/>
          <a:ext cx="1847850" cy="400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31750</xdr:rowOff>
    </xdr:from>
    <xdr:to>
      <xdr:col>12</xdr:col>
      <xdr:colOff>241300</xdr:colOff>
      <xdr:row>205</xdr:row>
      <xdr:rowOff>38100</xdr:rowOff>
    </xdr:to>
    <xdr:sp macro="" textlink="">
      <xdr:nvSpPr>
        <xdr:cNvPr id="2" name="Rectangle 1">
          <a:extLst>
            <a:ext uri="{FF2B5EF4-FFF2-40B4-BE49-F238E27FC236}">
              <a16:creationId xmlns:a16="http://schemas.microsoft.com/office/drawing/2014/main" id="{00000000-0008-0000-0700-000002000000}"/>
            </a:ext>
          </a:extLst>
        </xdr:cNvPr>
        <xdr:cNvSpPr/>
      </xdr:nvSpPr>
      <xdr:spPr>
        <a:xfrm>
          <a:off x="0" y="31750"/>
          <a:ext cx="7556500" cy="37757100"/>
        </a:xfrm>
        <a:prstGeom prst="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0</xdr:col>
      <xdr:colOff>101600</xdr:colOff>
      <xdr:row>0</xdr:row>
      <xdr:rowOff>165100</xdr:rowOff>
    </xdr:from>
    <xdr:to>
      <xdr:col>12</xdr:col>
      <xdr:colOff>0</xdr:colOff>
      <xdr:row>205</xdr:row>
      <xdr:rowOff>63500</xdr:rowOff>
    </xdr:to>
    <xdr:sp macro="" textlink="">
      <xdr:nvSpPr>
        <xdr:cNvPr id="3" name="TextBox 3">
          <a:extLst>
            <a:ext uri="{FF2B5EF4-FFF2-40B4-BE49-F238E27FC236}">
              <a16:creationId xmlns:a16="http://schemas.microsoft.com/office/drawing/2014/main" id="{00000000-0008-0000-0700-000003000000}"/>
            </a:ext>
          </a:extLst>
        </xdr:cNvPr>
        <xdr:cNvSpPr txBox="1"/>
      </xdr:nvSpPr>
      <xdr:spPr>
        <a:xfrm>
          <a:off x="101600" y="165100"/>
          <a:ext cx="7213600" cy="3764915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endParaRPr lang="en-US" sz="1200" b="0" baseline="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368300</xdr:colOff>
      <xdr:row>1</xdr:row>
      <xdr:rowOff>133350</xdr:rowOff>
    </xdr:from>
    <xdr:to>
      <xdr:col>22</xdr:col>
      <xdr:colOff>50799</xdr:colOff>
      <xdr:row>48</xdr:row>
      <xdr:rowOff>114300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368300" y="317500"/>
          <a:ext cx="13093699" cy="8636000"/>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xdr:col>
      <xdr:colOff>457200</xdr:colOff>
      <xdr:row>2</xdr:row>
      <xdr:rowOff>19050</xdr:rowOff>
    </xdr:from>
    <xdr:to>
      <xdr:col>7</xdr:col>
      <xdr:colOff>514350</xdr:colOff>
      <xdr:row>6</xdr:row>
      <xdr:rowOff>101600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066800" y="387350"/>
          <a:ext cx="3714750" cy="81915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400">
              <a:latin typeface="Arial Black" panose="020B0A04020102020204" pitchFamily="34" charset="0"/>
            </a:rPr>
            <a:t>GLOBAL</a:t>
          </a:r>
          <a:r>
            <a:rPr lang="en-US" sz="1400" baseline="0">
              <a:latin typeface="Arial Black" panose="020B0A04020102020204" pitchFamily="34" charset="0"/>
            </a:rPr>
            <a:t> INFLATION AND COST OF LIVING ANALYSIS</a:t>
          </a:r>
          <a:endParaRPr lang="en-US" sz="1400">
            <a:latin typeface="Arial Black" panose="020B0A04020102020204" pitchFamily="34" charset="0"/>
          </a:endParaRPr>
        </a:p>
      </xdr:txBody>
    </xdr:sp>
    <xdr:clientData/>
  </xdr:twoCellAnchor>
  <xdr:twoCellAnchor>
    <xdr:from>
      <xdr:col>14</xdr:col>
      <xdr:colOff>101601</xdr:colOff>
      <xdr:row>2</xdr:row>
      <xdr:rowOff>133350</xdr:rowOff>
    </xdr:from>
    <xdr:to>
      <xdr:col>17</xdr:col>
      <xdr:colOff>444500</xdr:colOff>
      <xdr:row>16</xdr:row>
      <xdr:rowOff>146050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8636001" y="501650"/>
          <a:ext cx="2171699" cy="2590800"/>
        </a:xfrm>
        <a:prstGeom prst="round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5</xdr:col>
      <xdr:colOff>431800</xdr:colOff>
      <xdr:row>6</xdr:row>
      <xdr:rowOff>101599</xdr:rowOff>
    </xdr:from>
    <xdr:to>
      <xdr:col>13</xdr:col>
      <xdr:colOff>203200</xdr:colOff>
      <xdr:row>17</xdr:row>
      <xdr:rowOff>152400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479800" y="1206499"/>
          <a:ext cx="4648200" cy="2076451"/>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14</xdr:col>
      <xdr:colOff>431800</xdr:colOff>
      <xdr:row>18</xdr:row>
      <xdr:rowOff>12700</xdr:rowOff>
    </xdr:from>
    <xdr:to>
      <xdr:col>21</xdr:col>
      <xdr:colOff>260350</xdr:colOff>
      <xdr:row>33</xdr:row>
      <xdr:rowOff>88900</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8966200" y="3327400"/>
          <a:ext cx="4095750" cy="2838450"/>
        </a:xfrm>
        <a:prstGeom prst="round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13</xdr:col>
      <xdr:colOff>577851</xdr:colOff>
      <xdr:row>33</xdr:row>
      <xdr:rowOff>133350</xdr:rowOff>
    </xdr:from>
    <xdr:to>
      <xdr:col>20</xdr:col>
      <xdr:colOff>393700</xdr:colOff>
      <xdr:row>48</xdr:row>
      <xdr:rowOff>120650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8502651" y="6210300"/>
          <a:ext cx="4083049" cy="27495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0</xdr:col>
      <xdr:colOff>69850</xdr:colOff>
      <xdr:row>17</xdr:row>
      <xdr:rowOff>12700</xdr:rowOff>
    </xdr:from>
    <xdr:to>
      <xdr:col>6</xdr:col>
      <xdr:colOff>336550</xdr:colOff>
      <xdr:row>32</xdr:row>
      <xdr:rowOff>82550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69850" y="3143250"/>
          <a:ext cx="3924300" cy="2832100"/>
        </a:xfrm>
        <a:prstGeom prst="roundRect">
          <a:avLst/>
        </a:prstGeom>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11</xdr:col>
      <xdr:colOff>239791</xdr:colOff>
      <xdr:row>2</xdr:row>
      <xdr:rowOff>107950</xdr:rowOff>
    </xdr:from>
    <xdr:to>
      <xdr:col>13</xdr:col>
      <xdr:colOff>266700</xdr:colOff>
      <xdr:row>4</xdr:row>
      <xdr:rowOff>152400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6945391" y="476250"/>
          <a:ext cx="1246109" cy="412750"/>
        </a:xfrm>
        <a:prstGeom prst="roundRect">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latin typeface="Arial Black" panose="020B0A04020102020204" pitchFamily="34" charset="0"/>
            </a:rPr>
            <a:t>218 COUNTRIES</a:t>
          </a:r>
        </a:p>
      </xdr:txBody>
    </xdr:sp>
    <xdr:clientData/>
  </xdr:twoCellAnchor>
  <xdr:twoCellAnchor>
    <xdr:from>
      <xdr:col>0</xdr:col>
      <xdr:colOff>0</xdr:colOff>
      <xdr:row>31</xdr:row>
      <xdr:rowOff>165100</xdr:rowOff>
    </xdr:from>
    <xdr:to>
      <xdr:col>7</xdr:col>
      <xdr:colOff>177799</xdr:colOff>
      <xdr:row>48</xdr:row>
      <xdr:rowOff>50801</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0" y="5873750"/>
          <a:ext cx="4444999" cy="3016251"/>
        </a:xfrm>
        <a:prstGeom prst="roundRect">
          <a:avLst/>
        </a:prstGeom>
      </xdr:spPr>
      <xdr:style>
        <a:lnRef idx="3">
          <a:schemeClr val="lt1"/>
        </a:lnRef>
        <a:fillRef idx="1">
          <a:schemeClr val="accent3"/>
        </a:fillRef>
        <a:effectRef idx="1">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7</xdr:col>
      <xdr:colOff>226833</xdr:colOff>
      <xdr:row>32</xdr:row>
      <xdr:rowOff>133351</xdr:rowOff>
    </xdr:from>
    <xdr:to>
      <xdr:col>13</xdr:col>
      <xdr:colOff>527050</xdr:colOff>
      <xdr:row>48</xdr:row>
      <xdr:rowOff>44451</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4494033" y="6026151"/>
          <a:ext cx="3957817" cy="2857500"/>
        </a:xfrm>
        <a:prstGeom prst="roundRect">
          <a:avLst/>
        </a:prstGeom>
      </xdr:spPr>
      <xdr:style>
        <a:lnRef idx="1">
          <a:schemeClr val="accent6"/>
        </a:lnRef>
        <a:fillRef idx="2">
          <a:schemeClr val="accent6"/>
        </a:fillRef>
        <a:effectRef idx="1">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6</xdr:col>
      <xdr:colOff>374650</xdr:colOff>
      <xdr:row>20</xdr:row>
      <xdr:rowOff>69850</xdr:rowOff>
    </xdr:from>
    <xdr:to>
      <xdr:col>14</xdr:col>
      <xdr:colOff>393700</xdr:colOff>
      <xdr:row>32</xdr:row>
      <xdr:rowOff>107949</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4032250" y="3752850"/>
          <a:ext cx="4895850" cy="2247899"/>
        </a:xfrm>
        <a:prstGeom prst="roundRect">
          <a:avLst/>
        </a:prstGeom>
        <a:solidFill>
          <a:schemeClr val="accent3">
            <a:lumMod val="40000"/>
            <a:lumOff val="60000"/>
          </a:schemeClr>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17</xdr:col>
      <xdr:colOff>523876</xdr:colOff>
      <xdr:row>2</xdr:row>
      <xdr:rowOff>50800</xdr:rowOff>
    </xdr:from>
    <xdr:to>
      <xdr:col>21</xdr:col>
      <xdr:colOff>1379</xdr:colOff>
      <xdr:row>17</xdr:row>
      <xdr:rowOff>107950</xdr:rowOff>
    </xdr:to>
    <xdr:sp macro="" textlink="">
      <xdr:nvSpPr>
        <xdr:cNvPr id="13" name="Rectangle: Rounded Corners 12">
          <a:extLst>
            <a:ext uri="{FF2B5EF4-FFF2-40B4-BE49-F238E27FC236}">
              <a16:creationId xmlns:a16="http://schemas.microsoft.com/office/drawing/2014/main" id="{00000000-0008-0000-0200-00000D000000}"/>
            </a:ext>
          </a:extLst>
        </xdr:cNvPr>
        <xdr:cNvSpPr/>
      </xdr:nvSpPr>
      <xdr:spPr>
        <a:xfrm>
          <a:off x="10887076" y="419100"/>
          <a:ext cx="1915903" cy="2819400"/>
        </a:xfrm>
        <a:prstGeom prst="round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2</xdr:col>
      <xdr:colOff>130856</xdr:colOff>
      <xdr:row>6</xdr:row>
      <xdr:rowOff>63500</xdr:rowOff>
    </xdr:from>
    <xdr:to>
      <xdr:col>4</xdr:col>
      <xdr:colOff>584200</xdr:colOff>
      <xdr:row>15</xdr:row>
      <xdr:rowOff>177800</xdr:rowOff>
    </xdr:to>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1350056" y="1168400"/>
          <a:ext cx="1672544" cy="1771650"/>
        </a:xfrm>
        <a:prstGeom prst="round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8</xdr:col>
      <xdr:colOff>31750</xdr:colOff>
      <xdr:row>2</xdr:row>
      <xdr:rowOff>133350</xdr:rowOff>
    </xdr:from>
    <xdr:to>
      <xdr:col>9</xdr:col>
      <xdr:colOff>450850</xdr:colOff>
      <xdr:row>5</xdr:row>
      <xdr:rowOff>88900</xdr:rowOff>
    </xdr:to>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4908550" y="501650"/>
          <a:ext cx="1028700" cy="508000"/>
        </a:xfrm>
        <a:prstGeom prst="roundRect">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latin typeface="Arial Black" panose="020B0A04020102020204" pitchFamily="34" charset="0"/>
            </a:rPr>
            <a:t>7 REGIONS</a:t>
          </a:r>
        </a:p>
      </xdr:txBody>
    </xdr:sp>
    <xdr:clientData/>
  </xdr:twoCellAnchor>
  <xdr:twoCellAnchor editAs="oneCell">
    <xdr:from>
      <xdr:col>10</xdr:col>
      <xdr:colOff>38100</xdr:colOff>
      <xdr:row>1</xdr:row>
      <xdr:rowOff>133350</xdr:rowOff>
    </xdr:from>
    <xdr:to>
      <xdr:col>11</xdr:col>
      <xdr:colOff>146050</xdr:colOff>
      <xdr:row>5</xdr:row>
      <xdr:rowOff>114300</xdr:rowOff>
    </xdr:to>
    <xdr:pic>
      <xdr:nvPicPr>
        <xdr:cNvPr id="18" name="Graphic 17" descr="City with solid fill">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34100" y="317500"/>
          <a:ext cx="717550" cy="717550"/>
        </a:xfrm>
        <a:prstGeom prst="rect">
          <a:avLst/>
        </a:prstGeom>
      </xdr:spPr>
    </xdr:pic>
    <xdr:clientData/>
  </xdr:twoCellAnchor>
  <xdr:twoCellAnchor editAs="oneCell">
    <xdr:from>
      <xdr:col>13</xdr:col>
      <xdr:colOff>247650</xdr:colOff>
      <xdr:row>1</xdr:row>
      <xdr:rowOff>171450</xdr:rowOff>
    </xdr:from>
    <xdr:to>
      <xdr:col>14</xdr:col>
      <xdr:colOff>316706</xdr:colOff>
      <xdr:row>6</xdr:row>
      <xdr:rowOff>107950</xdr:rowOff>
    </xdr:to>
    <xdr:pic>
      <xdr:nvPicPr>
        <xdr:cNvPr id="20" name="Graphic 19" descr="Building with solid fill">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72450" y="355600"/>
          <a:ext cx="678656" cy="857250"/>
        </a:xfrm>
        <a:prstGeom prst="rect">
          <a:avLst/>
        </a:prstGeom>
      </xdr:spPr>
    </xdr:pic>
    <xdr:clientData/>
  </xdr:twoCellAnchor>
  <xdr:twoCellAnchor editAs="oneCell">
    <xdr:from>
      <xdr:col>0</xdr:col>
      <xdr:colOff>0</xdr:colOff>
      <xdr:row>2</xdr:row>
      <xdr:rowOff>50800</xdr:rowOff>
    </xdr:from>
    <xdr:to>
      <xdr:col>1</xdr:col>
      <xdr:colOff>415872</xdr:colOff>
      <xdr:row>5</xdr:row>
      <xdr:rowOff>181831</xdr:rowOff>
    </xdr:to>
    <xdr:pic>
      <xdr:nvPicPr>
        <xdr:cNvPr id="22" name="Picture 21" descr="Road with skyscraper background">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419100"/>
          <a:ext cx="1025472" cy="683481"/>
        </a:xfrm>
        <a:prstGeom prst="rect">
          <a:avLst/>
        </a:prstGeom>
      </xdr:spPr>
    </xdr:pic>
    <xdr:clientData/>
  </xdr:twoCellAnchor>
  <xdr:twoCellAnchor>
    <xdr:from>
      <xdr:col>5</xdr:col>
      <xdr:colOff>311150</xdr:colOff>
      <xdr:row>6</xdr:row>
      <xdr:rowOff>50800</xdr:rowOff>
    </xdr:from>
    <xdr:to>
      <xdr:col>13</xdr:col>
      <xdr:colOff>139700</xdr:colOff>
      <xdr:row>18</xdr:row>
      <xdr:rowOff>31750</xdr:rowOff>
    </xdr:to>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419100</xdr:colOff>
      <xdr:row>20</xdr:row>
      <xdr:rowOff>38100</xdr:rowOff>
    </xdr:from>
    <xdr:to>
      <xdr:col>14</xdr:col>
      <xdr:colOff>234950</xdr:colOff>
      <xdr:row>32</xdr:row>
      <xdr:rowOff>19050</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139700</xdr:colOff>
      <xdr:row>17</xdr:row>
      <xdr:rowOff>82550</xdr:rowOff>
    </xdr:from>
    <xdr:to>
      <xdr:col>6</xdr:col>
      <xdr:colOff>234950</xdr:colOff>
      <xdr:row>30</xdr:row>
      <xdr:rowOff>165100</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355600</xdr:colOff>
      <xdr:row>32</xdr:row>
      <xdr:rowOff>127000</xdr:rowOff>
    </xdr:from>
    <xdr:to>
      <xdr:col>13</xdr:col>
      <xdr:colOff>361950</xdr:colOff>
      <xdr:row>47</xdr:row>
      <xdr:rowOff>57150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107950</xdr:colOff>
      <xdr:row>32</xdr:row>
      <xdr:rowOff>95250</xdr:rowOff>
    </xdr:from>
    <xdr:to>
      <xdr:col>7</xdr:col>
      <xdr:colOff>50800</xdr:colOff>
      <xdr:row>47</xdr:row>
      <xdr:rowOff>50800</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520700</xdr:colOff>
      <xdr:row>18</xdr:row>
      <xdr:rowOff>133350</xdr:rowOff>
    </xdr:from>
    <xdr:to>
      <xdr:col>21</xdr:col>
      <xdr:colOff>184150</xdr:colOff>
      <xdr:row>33</xdr:row>
      <xdr:rowOff>82550</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149906</xdr:colOff>
      <xdr:row>6</xdr:row>
      <xdr:rowOff>114300</xdr:rowOff>
    </xdr:from>
    <xdr:to>
      <xdr:col>5</xdr:col>
      <xdr:colOff>25400</xdr:colOff>
      <xdr:row>15</xdr:row>
      <xdr:rowOff>82550</xdr:rowOff>
    </xdr:to>
    <mc:AlternateContent xmlns:mc="http://schemas.openxmlformats.org/markup-compatibility/2006">
      <mc:Choice xmlns:a14="http://schemas.microsoft.com/office/drawing/2010/main" Requires="a14">
        <xdr:graphicFrame macro="">
          <xdr:nvGraphicFramePr>
            <xdr:cNvPr id="28" name="Inflation Year 1">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Inflation Year 1"/>
            </a:graphicData>
          </a:graphic>
        </xdr:graphicFrame>
      </mc:Choice>
      <mc:Fallback>
        <xdr:sp macro="" textlink="">
          <xdr:nvSpPr>
            <xdr:cNvPr id="0" name=""/>
            <xdr:cNvSpPr>
              <a:spLocks noTextEdit="1"/>
            </xdr:cNvSpPr>
          </xdr:nvSpPr>
          <xdr:spPr>
            <a:xfrm>
              <a:off x="1369106" y="1219200"/>
              <a:ext cx="1704294"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222250</xdr:colOff>
      <xdr:row>5</xdr:row>
      <xdr:rowOff>66936</xdr:rowOff>
    </xdr:from>
    <xdr:to>
      <xdr:col>17</xdr:col>
      <xdr:colOff>381000</xdr:colOff>
      <xdr:row>14</xdr:row>
      <xdr:rowOff>15615</xdr:rowOff>
    </xdr:to>
    <mc:AlternateContent xmlns:mc="http://schemas.openxmlformats.org/markup-compatibility/2006">
      <mc:Choice xmlns:a14="http://schemas.microsoft.com/office/drawing/2010/main" Requires="a14">
        <xdr:graphicFrame macro="">
          <xdr:nvGraphicFramePr>
            <xdr:cNvPr id="29" name="Country 2">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8756650" y="987686"/>
              <a:ext cx="1987550" cy="1606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514350</xdr:colOff>
      <xdr:row>3</xdr:row>
      <xdr:rowOff>19050</xdr:rowOff>
    </xdr:from>
    <xdr:to>
      <xdr:col>20</xdr:col>
      <xdr:colOff>514350</xdr:colOff>
      <xdr:row>16</xdr:row>
      <xdr:rowOff>95250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77550" y="571500"/>
              <a:ext cx="1828800" cy="247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50800</xdr:colOff>
      <xdr:row>33</xdr:row>
      <xdr:rowOff>114300</xdr:rowOff>
    </xdr:from>
    <xdr:to>
      <xdr:col>21</xdr:col>
      <xdr:colOff>234950</xdr:colOff>
      <xdr:row>48</xdr:row>
      <xdr:rowOff>57150</xdr:rowOff>
    </xdr:to>
    <xdr:graphicFrame macro="">
      <xdr:nvGraphicFramePr>
        <xdr:cNvPr id="23" name="Chart 22">
          <a:extLst>
            <a:ext uri="{FF2B5EF4-FFF2-40B4-BE49-F238E27FC236}">
              <a16:creationId xmlns:a16="http://schemas.microsoft.com/office/drawing/2014/main" id="{785D7DA1-B64E-4297-9F51-F7E6D343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0.37523</cdr:x>
      <cdr:y>0.25149</cdr:y>
    </cdr:from>
    <cdr:to>
      <cdr:x>0.69316</cdr:x>
      <cdr:y>0.40396</cdr:y>
    </cdr:to>
    <cdr:sp macro="" textlink="">
      <cdr:nvSpPr>
        <cdr:cNvPr id="2" name="TextBox 1">
          <a:extLst xmlns:a="http://schemas.openxmlformats.org/drawingml/2006/main">
            <a:ext uri="{FF2B5EF4-FFF2-40B4-BE49-F238E27FC236}">
              <a16:creationId xmlns:a16="http://schemas.microsoft.com/office/drawing/2014/main" id="{9D43E436-DBAF-4876-C64B-91363C3C3E4C}"/>
            </a:ext>
          </a:extLst>
        </cdr:cNvPr>
        <cdr:cNvSpPr txBox="1"/>
      </cdr:nvSpPr>
      <cdr:spPr>
        <a:xfrm xmlns:a="http://schemas.openxmlformats.org/drawingml/2006/main">
          <a:off x="2578100" y="806450"/>
          <a:ext cx="2184400" cy="488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0.3854</cdr:x>
      <cdr:y>0.34653</cdr:y>
    </cdr:from>
    <cdr:to>
      <cdr:x>0.65434</cdr:x>
      <cdr:y>0.47129</cdr:y>
    </cdr:to>
    <cdr:sp macro="" textlink="">
      <cdr:nvSpPr>
        <cdr:cNvPr id="3" name="TextBox 2">
          <a:extLst xmlns:a="http://schemas.openxmlformats.org/drawingml/2006/main">
            <a:ext uri="{FF2B5EF4-FFF2-40B4-BE49-F238E27FC236}">
              <a16:creationId xmlns:a16="http://schemas.microsoft.com/office/drawing/2014/main" id="{AE81E494-55AA-5B7B-6116-E8B85AA2C3A2}"/>
            </a:ext>
          </a:extLst>
        </cdr:cNvPr>
        <cdr:cNvSpPr txBox="1"/>
      </cdr:nvSpPr>
      <cdr:spPr>
        <a:xfrm xmlns:a="http://schemas.openxmlformats.org/drawingml/2006/main">
          <a:off x="2647950" y="1111250"/>
          <a:ext cx="1847850" cy="400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ELD-SBZ" refreshedDate="46267.661489467595" createdVersion="8" refreshedVersion="8" minRefreshableVersion="3" recordCount="217" xr:uid="{1D86C850-CE30-4C13-B59B-369FF8DF05A3}">
  <cacheSource type="worksheet">
    <worksheetSource name="Table14"/>
  </cacheSource>
  <cacheFields count="19">
    <cacheField name="Country" numFmtId="0">
      <sharedItems count="217">
        <s v="Aruba"/>
        <s v="Afghanistan"/>
        <s v="Angola"/>
        <s v="Albania"/>
        <s v="Andorra"/>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Switzerland"/>
        <s v="Channel Islands"/>
        <s v="Chile"/>
        <s v="China"/>
        <s v="Cote d'Ivoire"/>
        <s v="Cameroon"/>
        <s v="Congo, Dem. Rep."/>
        <s v="Congo, Rep."/>
        <s v="Colombia"/>
        <s v="Comoros"/>
        <s v="Cabo Verde"/>
        <s v="Costa Rica"/>
        <s v="Cuba"/>
        <s v="Curacao"/>
        <s v="Cayman Islands"/>
        <s v="Cyprus"/>
        <s v="Czechia"/>
        <s v="Germany"/>
        <s v="Djibouti"/>
        <s v="Dominica"/>
        <s v="Denmark"/>
        <s v="Dominican Republic"/>
        <s v="Algeria"/>
        <s v="Ecuador"/>
        <s v="Egypt, Arab Rep."/>
        <s v="Eritrea"/>
        <s v="Spain"/>
        <s v="Estonia"/>
        <s v="Ethiopia"/>
        <s v="Finland"/>
        <s v="Fiji"/>
        <s v="France"/>
        <s v="Faroe Islands"/>
        <s v="Micronesia, Fed. Sts."/>
        <s v="Gabon"/>
        <s v="United Kingdom"/>
        <s v="Georgia"/>
        <s v="Ghana"/>
        <s v="Gibraltar"/>
        <s v="Guinea"/>
        <s v="Gambia, The"/>
        <s v="Guinea-Bissau"/>
        <s v="Equatorial Guinea"/>
        <s v="Greece"/>
        <s v="Grenada"/>
        <s v="Greenland"/>
        <s v="Guatemala"/>
        <s v="Guam"/>
        <s v="Guyana"/>
        <s v="Hong Kong SAR, China"/>
        <s v="Honduras"/>
        <s v="Croatia"/>
        <s v="Haiti"/>
        <s v="Hungary"/>
        <s v="Indonesia"/>
        <s v="Isle of Man"/>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St. Martin (French part)"/>
        <s v="Morocco"/>
        <s v="Monaco"/>
        <s v="Moldova"/>
        <s v="Madagascar"/>
        <s v="Maldives"/>
        <s v="Mexico"/>
        <s v="Marshall Islands"/>
        <s v="North Macedonia"/>
        <s v="Mali"/>
        <s v="Malta"/>
        <s v="Myanmar"/>
        <s v="Montenegro"/>
        <s v="Mongolia"/>
        <s v="Northern Mariana Islands"/>
        <s v="Mozambique"/>
        <s v="Mauritania"/>
        <s v="Mauritius"/>
        <s v="Malawi"/>
        <s v="Malaysia"/>
        <s v="Namibia"/>
        <s v="New Caledonia"/>
        <s v="Niger"/>
        <s v="Nigeria"/>
        <s v="Nicaragua"/>
        <s v="Netherlands"/>
        <s v="Norway"/>
        <s v="Nepal"/>
        <s v="Naoero"/>
        <s v="New Zealand"/>
        <s v="Oman"/>
        <s v="Pakistan"/>
        <s v="Panama"/>
        <s v="Peru"/>
        <s v="Philippines"/>
        <s v="Palau"/>
        <s v="Papua New Guinea"/>
        <s v="Poland"/>
        <s v="Puerto Rico (US)"/>
        <s v="Korea, Dem. People's Rep."/>
        <s v="Portugal"/>
        <s v="Paraguay"/>
        <s v="West Bank and Gaza"/>
        <s v="French Polynesia"/>
        <s v="Qatar"/>
        <s v="Romania"/>
        <s v="Russian Federation"/>
        <s v="Rwanda"/>
        <s v="Saudi Arabia"/>
        <s v="Sudan"/>
        <s v="Senegal"/>
        <s v="Singapore"/>
        <s v="Solomon Islands"/>
        <s v="Sierra Leone"/>
        <s v="El Salvador"/>
        <s v="San Marino"/>
        <s v="Somalia, Fed. Rep."/>
        <s v="Serbia"/>
        <s v="South Sudan"/>
        <s v="Sao Tome and Principe"/>
        <s v="Suriname"/>
        <s v="Slovak Republic"/>
        <s v="Slovenia"/>
        <s v="Sweden"/>
        <s v="Eswatini"/>
        <s v="Sint Maarten (Dutch part)"/>
        <s v="Seychelles"/>
        <s v="Syrian Arab Republic"/>
        <s v="Turks and Caicos Islands"/>
        <s v="Chad"/>
        <s v="Togo"/>
        <s v="Thailand"/>
        <s v="Tajikistan"/>
        <s v="Turkmenistan"/>
        <s v="Timor-Leste"/>
        <s v="Tonga"/>
        <s v="Trinidad and Tobago"/>
        <s v="Tunisia"/>
        <s v="Turkiye"/>
        <s v="Tuvalu"/>
        <s v="Tanzania"/>
        <s v="Uganda"/>
        <s v="Ukraine"/>
        <s v="Uruguay"/>
        <s v="United States"/>
        <s v="Uzbekistan"/>
        <s v="St. Vincent and the Grenadines"/>
        <s v="Venezuela, RB"/>
        <s v="British Virgin Islands"/>
        <s v="Virgin Islands (U.S.)"/>
        <s v="Viet Nam"/>
        <s v="Vanuatu"/>
        <s v="Samoa"/>
        <s v="Kosovo"/>
        <s v="Yemen, Rep."/>
        <s v="South Africa"/>
        <s v="Zambia"/>
        <s v="Zimbabwe"/>
      </sharedItems>
    </cacheField>
    <cacheField name="Region" numFmtId="0">
      <sharedItems count="7">
        <s v="Latin America &amp; Caribbean "/>
        <s v="Middle East, North Africa, Afghanistan &amp; Pakistan"/>
        <s v="Sub-Saharan Africa "/>
        <s v="Europe &amp; Central Asia"/>
        <s v="East Asia &amp; Pacific"/>
        <s v="South Asia"/>
        <s v="North America"/>
      </sharedItems>
    </cacheField>
    <cacheField name="income Level" numFmtId="0">
      <sharedItems/>
    </cacheField>
    <cacheField name="Capital City" numFmtId="0">
      <sharedItems containsBlank="1"/>
    </cacheField>
    <cacheField name="Latitude" numFmtId="0">
      <sharedItems containsBlank="1"/>
    </cacheField>
    <cacheField name="Longitude" numFmtId="0">
      <sharedItems containsBlank="1"/>
    </cacheField>
    <cacheField name="Country Code" numFmtId="0">
      <sharedItems containsBlank="1"/>
    </cacheField>
    <cacheField name="Inflation Year" numFmtId="0">
      <sharedItems containsString="0" containsBlank="1" containsNumber="1" containsInteger="1" minValue="2022" maxValue="2024" count="4">
        <m/>
        <n v="2024"/>
        <n v="2023"/>
        <n v="2022"/>
      </sharedItems>
    </cacheField>
    <cacheField name="Inflation Annual Pct" numFmtId="0">
      <sharedItems containsString="0" containsBlank="1" containsNumber="1" minValue="-6.6011856407372598" maxValue="219.883929014578" count="180">
        <m/>
        <n v="-6.6011856407372598"/>
        <n v="28.2404948915772"/>
        <n v="2.2158737508999198"/>
        <n v="1.66336510224894"/>
        <n v="219.883929014578"/>
        <n v="0.26951197825912498"/>
        <n v="6.1988669884211598"/>
        <n v="3.16656665428797"/>
        <n v="2.9379157427937601"/>
        <n v="2.2121718891990101"/>
        <n v="20.212492502784698"/>
        <n v="3.1434913650004099"/>
        <n v="1.16093089640415"/>
        <n v="4.1908172134452304"/>
        <n v="10.4657482763412"/>
        <n v="2.44651943006079"/>
        <n v="0.91963545981765105"/>
        <n v="0.40916248908328601"/>
        <n v="6.1059011284827998"/>
        <n v="5.7853191042800498"/>
        <n v="3.2895598595276798"/>
        <n v="5.0997656831742697"/>
        <n v="4.3674640765233699"/>
        <n v="1.4464366430616"/>
        <n v="-0.38867416503646102"/>
        <n v="2.7613156962409802"/>
        <n v="2.8183513167625098"/>
        <n v="1.47733600718744"/>
        <n v="2.3815838328117298"/>
        <n v="1.0623404197659501"/>
        <n v="4.2976389157252397"/>
        <n v="0.21812893843917699"/>
        <n v="3.4505302813101899"/>
        <n v="4.53331349711606"/>
        <n v="3.0914363091916601"/>
        <n v="6.6090859372822797"/>
        <n v="5.0519260958821803"/>
        <n v="1.0481700109196499"/>
        <n v="-0.41285300104706901"/>
        <n v="1.8002301862482399"/>
        <n v="2.4353120243531401"/>
        <n v="2.2564981433876001"/>
        <n v="2.1120116728496998"/>
        <n v="2.7362075187331301"/>
        <n v="1.3722004976892599"/>
        <n v="3.3022333895122702"/>
        <n v="4.0461145531343403"/>
        <n v="1.54732515615369"/>
        <n v="28.270589932208299"/>
        <n v="2.7471478866179999"/>
        <n v="3.5194118998391999"/>
        <n v="21.037746057771098"/>
        <n v="1.5656890623161599"/>
        <n v="3.8908423788410502"/>
        <n v="1.9990494229146301"/>
        <n v="5.4087437547906703"/>
        <n v="1.17311998381218"/>
        <n v="3.2715729463591998"/>
        <n v="1.10971758022096"/>
        <n v="22.848328115784199"/>
        <n v="8.1231391494859597"/>
        <n v="11.561053289751101"/>
        <n v="3.7655582577011399"/>
        <n v="2.9214022730910298"/>
        <n v="2.7410187567948601"/>
        <n v="1.08615365134737"/>
        <n v="2.8699275291829398"/>
        <n v="2.90379501424778"/>
        <n v="1.7297211910591399"/>
        <n v="4.6062109812710101"/>
        <n v="2.9720047764362598"/>
        <n v="26.9490564091987"/>
        <n v="3.70370370370369"/>
        <n v="2.1815127361518898"/>
        <n v="4.9530355097366101"/>
        <n v="2.1134499957731698"/>
        <n v="32.455871402916998"/>
        <n v="2.6116961151764002"/>
        <n v="5.8568384997007197"/>
        <n v="3.0748088980502501"/>
        <n v="0.98237302306141705"/>
        <n v="5.4119444798165901"/>
        <n v="1.55659611283953"/>
        <n v="2.73853681635241"/>
        <n v="8.69082156104494"/>
        <n v="4.4897885424344803"/>
        <n v="4.9976070120732299"/>
        <n v="0.80804201653665397"/>
        <n v="2.4554507215902799"/>
        <n v="3.5571123084824299"/>
        <n v="2.3217432864354199"/>
        <n v="2.8985507246376199"/>
        <n v="23.130569594258802"/>
        <n v="45.243042271671797"/>
        <n v="8.2149743911896405"/>
        <n v="2.12615766885021"/>
        <n v="-0.67424085341877904"/>
        <n v="-0.42936004906973002"/>
        <n v="6.10544624245032"/>
        <n v="0.71573583522872297"/>
        <n v="2.0511326995485901"/>
        <n v="1.2657988582872901"/>
        <n v="0.67249859885436503"/>
        <n v="0.98525659200450699"/>
        <n v="4.6777351600704797"/>
        <n v="7.61335784313723"/>
        <n v="1.4109352791013401"/>
        <n v="4.7222558845293197"/>
        <n v="3.4897408602695399"/>
        <n v="3.2063986409965999"/>
        <n v="1.6507946928310899"/>
        <n v="3.3367500928228102"/>
        <n v="6.1977990165841996"/>
        <n v="4.0785683481202204"/>
        <n v="2.4916434748197198"/>
        <n v="3.6045220384796002"/>
        <n v="32.179650422502498"/>
        <n v="1.834100204499"/>
        <n v="4.23903922877036"/>
        <n v="9.07151997725013"/>
        <n v="33.241659055274901"/>
        <n v="4.6247384105714104"/>
        <n v="3.34754304219953"/>
        <n v="3.14530134431081"/>
        <n v="4.6850965426576998"/>
        <n v="2.9227978230195699"/>
        <n v="0.59358923624846904"/>
        <n v="12.632531853045201"/>
        <n v="0.69322555100446004"/>
        <n v="2.0077073941271202"/>
        <n v="3.21260487006347"/>
        <n v="2.2317277292170399"/>
        <n v="0.60240392110791696"/>
        <n v="3.7906089763019701"/>
        <n v="2.4161318779187599"/>
        <n v="3.83540271728533"/>
        <n v="53.669145830378199"/>
        <n v="1.2673431029237501"/>
        <n v="5.7214057435443904"/>
        <n v="8.4348641049672306"/>
        <n v="1.77029240198635"/>
        <n v="1.68792112375809"/>
        <n v="138.80846024176"/>
        <n v="0.80450329879243798"/>
        <n v="2.3895112359501698"/>
        <n v="4.3218394838803302"/>
        <n v="28.633750001411499"/>
        <n v="0.85378229256728799"/>
        <n v="1.24216507945569"/>
        <n v="4.6705297488996997"/>
        <n v="91.440822076904595"/>
        <n v="14.3519273571008"/>
        <n v="16.229615913027899"/>
        <n v="2.75760909424279"/>
        <n v="1.9656265643250499"/>
        <n v="2.8358165822403398"/>
        <n v="0.31172605091966799"/>
        <n v="8.8995073226375396"/>
        <n v="2.8626207408980102"/>
        <n v="0.39833333333342202"/>
        <n v="2.0628415300546799"/>
        <n v="3.1818892423747198"/>
        <n v="0.52688462577683903"/>
        <n v="7.20661657168794"/>
        <n v="58.506450730034203"/>
        <n v="3.0569467631237299"/>
        <n v="3.32338033691819"/>
        <n v="6.5019846466925397"/>
        <n v="4.8491436661315603"/>
        <n v="2.9495252048520699"/>
        <n v="9.6282546595668208"/>
        <n v="3.6277073694092699"/>
        <n v="3.6210927388584402"/>
        <n v="1.1434894872741199"/>
        <n v="2.1724553051437701"/>
        <n v="1.61944994559476"/>
        <n v="4.3611524651896199"/>
        <n v="14.9856262747939"/>
        <n v="104.70517062866701"/>
      </sharedItems>
    </cacheField>
    <cacheField name="Cost of Living " numFmtId="0">
      <sharedItems containsString="0" containsBlank="1" containsNumber="1" minValue="38.200000000000003" maxValue="94.3" count="44">
        <m/>
        <n v="38.200000000000003"/>
        <n v="72.400000000000006"/>
        <n v="69.5"/>
        <n v="39.5"/>
        <n v="65.2"/>
        <n v="51.4"/>
        <n v="75.2"/>
        <n v="65.400000000000006"/>
        <n v="82.3"/>
        <n v="49.8"/>
        <n v="94.3"/>
        <n v="64.099999999999994"/>
        <n v="72.099999999999994"/>
        <n v="60.8"/>
        <n v="64.8"/>
        <n v="67.8"/>
        <n v="57.1"/>
        <n v="47.2"/>
        <n v="48.5"/>
        <n v="68.900000000000006"/>
        <n v="78.2"/>
        <n v="62.5"/>
        <n v="63.2"/>
        <n v="50.2"/>
        <n v="67.5"/>
        <n v="53.8"/>
        <n v="52.8"/>
        <n v="48.8"/>
        <n v="47.5"/>
        <n v="56.8"/>
        <n v="40.799999999999997"/>
        <n v="73.8"/>
        <n v="51.5"/>
        <n v="66.2"/>
        <n v="43.2"/>
        <n v="46.1"/>
        <n v="55.8"/>
        <n v="58.2"/>
        <n v="70.8"/>
        <n v="68.2"/>
        <n v="80.900000000000006"/>
        <n v="55.2"/>
        <n v="74.3"/>
      </sharedItems>
    </cacheField>
    <cacheField name="Rent " numFmtId="0">
      <sharedItems containsString="0" containsBlank="1" containsNumber="1" minValue="8.1999999999999993" maxValue="60.2"/>
    </cacheField>
    <cacheField name="Groceries  " numFmtId="0">
      <sharedItems containsString="0" containsBlank="1" containsNumber="1" minValue="36.799999999999997" maxValue="85.6"/>
    </cacheField>
    <cacheField name="Restaurants " numFmtId="0">
      <sharedItems containsString="0" containsBlank="1" containsNumber="1" minValue="36.9" maxValue="92.1"/>
    </cacheField>
    <cacheField name="Purchasing Power" numFmtId="0">
      <sharedItems containsString="0" containsBlank="1" containsNumber="1" minValue="48.5" maxValue="120.5"/>
    </cacheField>
    <cacheField name="Bread Price _Usd" numFmtId="0">
      <sharedItems containsString="0" containsBlank="1" containsNumber="1" minValue="0.36" maxValue="9.5299999999999994"/>
    </cacheField>
    <cacheField name="Transport Oneway _Usd" numFmtId="0">
      <sharedItems containsString="0" containsBlank="1" containsNumber="1" minValue="0.21" maxValue="7.94"/>
    </cacheField>
    <cacheField name="Transport Monthly Pass _ Usd" numFmtId="0">
      <sharedItems containsString="0" containsBlank="1" containsNumber="1" minValue="9.02" maxValue="149.69999999999999"/>
    </cacheField>
    <cacheField name="Rent Monthly_Usd" numFmtId="0">
      <sharedItems containsString="0" containsBlank="1" containsNumber="1" containsInteger="1" minValue="85" maxValue="3167"/>
    </cacheField>
    <cacheField name="Utilities Monthly_Usd" numFmtId="0">
      <sharedItems containsString="0" containsBlank="1" containsNumber="1" containsInteger="1" minValue="20" maxValue="220"/>
    </cacheField>
  </cacheFields>
  <extLst>
    <ext xmlns:x14="http://schemas.microsoft.com/office/spreadsheetml/2009/9/main" uri="{725AE2AE-9491-48be-B2B4-4EB974FC3084}">
      <x14:pivotCacheDefinition pivotCacheId="149237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x v="0"/>
    <x v="0"/>
    <s v="High income"/>
    <s v="Oranjestad"/>
    <s v="12.5167"/>
    <s v="-70.0167"/>
    <m/>
    <x v="0"/>
    <x v="0"/>
    <x v="0"/>
    <m/>
    <m/>
    <m/>
    <m/>
    <m/>
    <m/>
    <m/>
    <m/>
    <m/>
  </r>
  <r>
    <x v="1"/>
    <x v="1"/>
    <s v="Low income"/>
    <s v="Kabul"/>
    <s v="34.5228"/>
    <s v="69.1761"/>
    <s v="AFG"/>
    <x v="1"/>
    <x v="1"/>
    <x v="1"/>
    <n v="8.1999999999999993"/>
    <n v="36.799999999999997"/>
    <n v="36.9"/>
    <n v="48.5"/>
    <n v="0.88"/>
    <n v="1.05"/>
    <n v="12.8"/>
    <n v="85"/>
    <n v="20"/>
  </r>
  <r>
    <x v="2"/>
    <x v="2"/>
    <s v="Lower middle income"/>
    <s v="Luanda"/>
    <s v="-8.81155"/>
    <s v="13.242"/>
    <s v="AGO"/>
    <x v="1"/>
    <x v="2"/>
    <x v="0"/>
    <m/>
    <m/>
    <m/>
    <m/>
    <m/>
    <m/>
    <m/>
    <m/>
    <m/>
  </r>
  <r>
    <x v="3"/>
    <x v="3"/>
    <s v="Upper middle income"/>
    <s v="Tirane"/>
    <s v="41.3317"/>
    <s v="19.8172"/>
    <s v="ALB"/>
    <x v="1"/>
    <x v="3"/>
    <x v="0"/>
    <m/>
    <m/>
    <m/>
    <m/>
    <m/>
    <m/>
    <m/>
    <m/>
    <m/>
  </r>
  <r>
    <x v="4"/>
    <x v="3"/>
    <s v="High income"/>
    <s v="Andorra la Vella"/>
    <s v="42.5075"/>
    <s v="1.5218"/>
    <m/>
    <x v="0"/>
    <x v="0"/>
    <x v="0"/>
    <m/>
    <m/>
    <m/>
    <m/>
    <m/>
    <m/>
    <m/>
    <m/>
    <m/>
  </r>
  <r>
    <x v="5"/>
    <x v="1"/>
    <s v="High income"/>
    <s v="Abu Dhabi"/>
    <s v="24.4764"/>
    <s v="54.3705"/>
    <s v="ARE"/>
    <x v="1"/>
    <x v="4"/>
    <x v="2"/>
    <n v="34.200000000000003"/>
    <n v="68.5"/>
    <n v="70.8"/>
    <n v="96.2"/>
    <m/>
    <m/>
    <m/>
    <n v="1100"/>
    <m/>
  </r>
  <r>
    <x v="6"/>
    <x v="0"/>
    <s v="Upper middle income"/>
    <s v="Buenos Aires"/>
    <s v="-34.6118"/>
    <s v="-58.4173"/>
    <s v="ARG"/>
    <x v="1"/>
    <x v="5"/>
    <x v="0"/>
    <m/>
    <m/>
    <m/>
    <m/>
    <m/>
    <m/>
    <m/>
    <m/>
    <m/>
  </r>
  <r>
    <x v="7"/>
    <x v="3"/>
    <s v="Upper middle income"/>
    <s v="Yerevan"/>
    <s v="40.1596"/>
    <s v="44.509"/>
    <s v="ARM"/>
    <x v="1"/>
    <x v="6"/>
    <x v="0"/>
    <m/>
    <m/>
    <m/>
    <m/>
    <m/>
    <m/>
    <m/>
    <m/>
    <m/>
  </r>
  <r>
    <x v="8"/>
    <x v="4"/>
    <s v="High income"/>
    <s v="Pago Pago"/>
    <s v="-14.2846"/>
    <s v="-170.691"/>
    <m/>
    <x v="0"/>
    <x v="0"/>
    <x v="0"/>
    <m/>
    <m/>
    <m/>
    <m/>
    <m/>
    <m/>
    <m/>
    <m/>
    <m/>
  </r>
  <r>
    <x v="9"/>
    <x v="0"/>
    <s v="High income"/>
    <s v="Saint John's"/>
    <s v="17.1175"/>
    <s v="-61.8456"/>
    <s v="ATG"/>
    <x v="1"/>
    <x v="7"/>
    <x v="0"/>
    <m/>
    <m/>
    <m/>
    <m/>
    <m/>
    <m/>
    <m/>
    <m/>
    <m/>
  </r>
  <r>
    <x v="10"/>
    <x v="4"/>
    <s v="High income"/>
    <s v="Canberra"/>
    <s v="-35.282"/>
    <s v="149.129"/>
    <s v="AUS"/>
    <x v="1"/>
    <x v="8"/>
    <x v="3"/>
    <n v="32.799999999999997"/>
    <n v="65.400000000000006"/>
    <n v="68.900000000000006"/>
    <n v="95.6"/>
    <n v="3.25"/>
    <m/>
    <m/>
    <n v="1450"/>
    <n v="140"/>
  </r>
  <r>
    <x v="11"/>
    <x v="3"/>
    <s v="High income"/>
    <s v="Vienna"/>
    <s v="48.2201"/>
    <s v="16.3798"/>
    <s v="AUT"/>
    <x v="1"/>
    <x v="9"/>
    <x v="0"/>
    <m/>
    <m/>
    <m/>
    <m/>
    <m/>
    <m/>
    <m/>
    <m/>
    <m/>
  </r>
  <r>
    <x v="12"/>
    <x v="3"/>
    <s v="Upper middle income"/>
    <s v="Baku"/>
    <s v="40.3834"/>
    <s v="49.8932"/>
    <s v="AZE"/>
    <x v="1"/>
    <x v="10"/>
    <x v="0"/>
    <m/>
    <m/>
    <m/>
    <m/>
    <n v="0.46"/>
    <m/>
    <m/>
    <m/>
    <m/>
  </r>
  <r>
    <x v="13"/>
    <x v="2"/>
    <s v="Low income"/>
    <s v="Bujumbura"/>
    <s v="-3.3784"/>
    <s v="29.3639"/>
    <s v="BDI"/>
    <x v="1"/>
    <x v="11"/>
    <x v="0"/>
    <m/>
    <m/>
    <m/>
    <m/>
    <m/>
    <m/>
    <m/>
    <m/>
    <m/>
  </r>
  <r>
    <x v="14"/>
    <x v="3"/>
    <s v="High income"/>
    <s v="Brussels"/>
    <s v="50.8371"/>
    <s v="4.36761"/>
    <s v="BEL"/>
    <x v="1"/>
    <x v="12"/>
    <x v="0"/>
    <m/>
    <m/>
    <m/>
    <m/>
    <m/>
    <m/>
    <m/>
    <m/>
    <m/>
  </r>
  <r>
    <x v="15"/>
    <x v="2"/>
    <s v="Lower middle income"/>
    <s v="Porto-Novo"/>
    <s v="6.4779"/>
    <s v="2.6323"/>
    <s v="BEN"/>
    <x v="1"/>
    <x v="13"/>
    <x v="0"/>
    <m/>
    <m/>
    <m/>
    <m/>
    <m/>
    <m/>
    <m/>
    <m/>
    <m/>
  </r>
  <r>
    <x v="16"/>
    <x v="2"/>
    <s v="Low income"/>
    <s v="Ouagadougou"/>
    <s v="12.3605"/>
    <s v="-1.53395"/>
    <s v="BFA"/>
    <x v="1"/>
    <x v="14"/>
    <x v="0"/>
    <m/>
    <m/>
    <m/>
    <m/>
    <m/>
    <m/>
    <m/>
    <m/>
    <m/>
  </r>
  <r>
    <x v="17"/>
    <x v="5"/>
    <s v="Lower middle income"/>
    <s v="Dhaka"/>
    <s v="23.7055"/>
    <s v="90.4113"/>
    <s v="BGD"/>
    <x v="1"/>
    <x v="15"/>
    <x v="4"/>
    <n v="8.8000000000000007"/>
    <n v="38.1"/>
    <n v="38.200000000000003"/>
    <n v="50.8"/>
    <n v="0.95"/>
    <n v="1.18"/>
    <n v="14.5"/>
    <n v="100"/>
    <n v="25"/>
  </r>
  <r>
    <x v="18"/>
    <x v="3"/>
    <s v="High income"/>
    <s v="Sofia"/>
    <s v="42.7105"/>
    <s v="23.3238"/>
    <s v="BGR"/>
    <x v="1"/>
    <x v="16"/>
    <x v="0"/>
    <m/>
    <m/>
    <m/>
    <m/>
    <m/>
    <m/>
    <m/>
    <m/>
    <m/>
  </r>
  <r>
    <x v="19"/>
    <x v="1"/>
    <s v="High income"/>
    <s v="Manama"/>
    <s v="26.1921"/>
    <s v="50.5354"/>
    <s v="BHR"/>
    <x v="1"/>
    <x v="17"/>
    <x v="5"/>
    <n v="26.1"/>
    <n v="61.8"/>
    <n v="63.5"/>
    <n v="86.2"/>
    <m/>
    <m/>
    <m/>
    <n v="600"/>
    <m/>
  </r>
  <r>
    <x v="20"/>
    <x v="0"/>
    <s v="High income"/>
    <s v="Nassau"/>
    <s v="25.0661"/>
    <s v="-77.339"/>
    <s v="BHS"/>
    <x v="1"/>
    <x v="18"/>
    <x v="0"/>
    <m/>
    <m/>
    <m/>
    <m/>
    <m/>
    <m/>
    <m/>
    <m/>
    <m/>
  </r>
  <r>
    <x v="21"/>
    <x v="3"/>
    <s v="Upper middle income"/>
    <s v="Sarajevo"/>
    <s v="43.8607"/>
    <s v="18.4214"/>
    <s v="BIH"/>
    <x v="2"/>
    <x v="19"/>
    <x v="0"/>
    <m/>
    <m/>
    <m/>
    <m/>
    <m/>
    <m/>
    <m/>
    <m/>
    <m/>
  </r>
  <r>
    <x v="22"/>
    <x v="3"/>
    <s v="Upper middle income"/>
    <s v="Minsk"/>
    <s v="53.9678"/>
    <s v="27.5766"/>
    <s v="BLR"/>
    <x v="1"/>
    <x v="20"/>
    <x v="0"/>
    <m/>
    <m/>
    <m/>
    <m/>
    <m/>
    <m/>
    <m/>
    <m/>
    <m/>
  </r>
  <r>
    <x v="23"/>
    <x v="0"/>
    <s v="Upper middle income"/>
    <s v="Belmopan"/>
    <s v="17.2534"/>
    <s v="-88.7713"/>
    <s v="BLZ"/>
    <x v="1"/>
    <x v="21"/>
    <x v="0"/>
    <m/>
    <m/>
    <m/>
    <m/>
    <m/>
    <m/>
    <m/>
    <m/>
    <m/>
  </r>
  <r>
    <x v="24"/>
    <x v="6"/>
    <s v="High income"/>
    <s v="Hamilton"/>
    <s v="32.3293"/>
    <s v="-64.706"/>
    <m/>
    <x v="0"/>
    <x v="0"/>
    <x v="0"/>
    <m/>
    <m/>
    <m/>
    <m/>
    <n v="8.61"/>
    <m/>
    <m/>
    <m/>
    <m/>
  </r>
  <r>
    <x v="25"/>
    <x v="0"/>
    <s v="Lower middle income"/>
    <s v="La Paz"/>
    <s v="-13.9908"/>
    <s v="-66.1936"/>
    <s v="BOL"/>
    <x v="1"/>
    <x v="22"/>
    <x v="0"/>
    <m/>
    <m/>
    <m/>
    <m/>
    <m/>
    <m/>
    <m/>
    <m/>
    <m/>
  </r>
  <r>
    <x v="26"/>
    <x v="0"/>
    <s v="Upper middle income"/>
    <s v="Brasilia"/>
    <s v="-15.7801"/>
    <s v="-47.9292"/>
    <s v="BRA"/>
    <x v="1"/>
    <x v="23"/>
    <x v="6"/>
    <n v="15.9"/>
    <n v="49.2"/>
    <n v="50.1"/>
    <n v="67.5"/>
    <n v="1.85"/>
    <n v="2.85"/>
    <n v="52.4"/>
    <n v="270"/>
    <n v="70"/>
  </r>
  <r>
    <x v="27"/>
    <x v="0"/>
    <s v="High income"/>
    <s v="Bridgetown"/>
    <s v="13.0935"/>
    <s v="-59.6105"/>
    <s v="BRB"/>
    <x v="1"/>
    <x v="24"/>
    <x v="7"/>
    <n v="41.8"/>
    <n v="70.8"/>
    <n v="73.2"/>
    <n v="88.5"/>
    <m/>
    <m/>
    <m/>
    <n v="1200"/>
    <m/>
  </r>
  <r>
    <x v="28"/>
    <x v="4"/>
    <s v="High income"/>
    <s v="Bandar Seri Begawan"/>
    <s v="4.94199"/>
    <s v="114.946"/>
    <s v="BRN"/>
    <x v="1"/>
    <x v="25"/>
    <x v="0"/>
    <m/>
    <m/>
    <m/>
    <m/>
    <m/>
    <m/>
    <m/>
    <m/>
    <m/>
  </r>
  <r>
    <x v="29"/>
    <x v="5"/>
    <s v="Lower middle income"/>
    <s v="Thimphu"/>
    <s v="27.5768"/>
    <s v="89.6177"/>
    <s v="BTN"/>
    <x v="1"/>
    <x v="26"/>
    <x v="0"/>
    <m/>
    <m/>
    <m/>
    <m/>
    <m/>
    <m/>
    <m/>
    <m/>
    <m/>
  </r>
  <r>
    <x v="30"/>
    <x v="2"/>
    <s v="Upper middle income"/>
    <s v="Gaborone"/>
    <s v="-24.6544"/>
    <s v="25.9201"/>
    <s v="BWA"/>
    <x v="1"/>
    <x v="27"/>
    <x v="0"/>
    <m/>
    <m/>
    <m/>
    <m/>
    <m/>
    <m/>
    <m/>
    <m/>
    <m/>
  </r>
  <r>
    <x v="31"/>
    <x v="2"/>
    <s v="Low income"/>
    <s v="Bangui"/>
    <s v="5.63056"/>
    <s v="21.6407"/>
    <s v="CAF"/>
    <x v="1"/>
    <x v="28"/>
    <x v="0"/>
    <m/>
    <m/>
    <m/>
    <m/>
    <m/>
    <m/>
    <m/>
    <m/>
    <m/>
  </r>
  <r>
    <x v="32"/>
    <x v="6"/>
    <s v="High income"/>
    <s v="Ottawa"/>
    <s v="45.4215"/>
    <s v="-75.6919"/>
    <s v="CAN"/>
    <x v="1"/>
    <x v="29"/>
    <x v="8"/>
    <n v="28.4"/>
    <n v="61.5"/>
    <n v="64.2"/>
    <n v="92.1"/>
    <n v="3.18"/>
    <m/>
    <m/>
    <n v="1200"/>
    <n v="145"/>
  </r>
  <r>
    <x v="33"/>
    <x v="3"/>
    <s v="High income"/>
    <s v="Bern"/>
    <s v="46.948"/>
    <s v="7.44821"/>
    <s v="CHE"/>
    <x v="1"/>
    <x v="30"/>
    <x v="9"/>
    <n v="50.1"/>
    <n v="75.2"/>
    <n v="88.4"/>
    <n v="120.5"/>
    <n v="3.81"/>
    <n v="6.36"/>
    <n v="149.69999999999999"/>
    <n v="1850"/>
    <n v="220"/>
  </r>
  <r>
    <x v="34"/>
    <x v="3"/>
    <s v="High income"/>
    <m/>
    <m/>
    <m/>
    <m/>
    <x v="0"/>
    <x v="0"/>
    <x v="0"/>
    <m/>
    <m/>
    <m/>
    <m/>
    <m/>
    <m/>
    <m/>
    <m/>
    <m/>
  </r>
  <r>
    <x v="35"/>
    <x v="0"/>
    <s v="High income"/>
    <s v="Santiago"/>
    <s v="-33.475"/>
    <s v="-70.6475"/>
    <s v="CHL"/>
    <x v="1"/>
    <x v="31"/>
    <x v="0"/>
    <m/>
    <m/>
    <m/>
    <m/>
    <m/>
    <m/>
    <m/>
    <m/>
    <m/>
  </r>
  <r>
    <x v="36"/>
    <x v="4"/>
    <s v="Upper middle income"/>
    <s v="Beijing"/>
    <s v="40.0495"/>
    <s v="116.286"/>
    <s v="CHN"/>
    <x v="1"/>
    <x v="32"/>
    <x v="10"/>
    <n v="14.8"/>
    <n v="47.8"/>
    <n v="48.5"/>
    <n v="64.2"/>
    <n v="1.65"/>
    <n v="2.4500000000000002"/>
    <n v="42.8"/>
    <n v="540"/>
    <n v="80"/>
  </r>
  <r>
    <x v="37"/>
    <x v="2"/>
    <s v="Lower middle income"/>
    <s v="Yamoussoukro"/>
    <s v="5.332"/>
    <s v="-4.0305"/>
    <s v="CIV"/>
    <x v="1"/>
    <x v="33"/>
    <x v="0"/>
    <m/>
    <m/>
    <m/>
    <m/>
    <m/>
    <m/>
    <m/>
    <m/>
    <m/>
  </r>
  <r>
    <x v="38"/>
    <x v="2"/>
    <s v="Lower middle income"/>
    <s v="Yaounde"/>
    <s v="3.8721"/>
    <s v="11.5174"/>
    <s v="CMR"/>
    <x v="1"/>
    <x v="34"/>
    <x v="0"/>
    <m/>
    <m/>
    <m/>
    <m/>
    <m/>
    <m/>
    <m/>
    <m/>
    <m/>
  </r>
  <r>
    <x v="39"/>
    <x v="2"/>
    <s v="Low income"/>
    <s v="Kinshasa"/>
    <s v="-4.325"/>
    <s v="15.3222"/>
    <m/>
    <x v="0"/>
    <x v="0"/>
    <x v="0"/>
    <m/>
    <m/>
    <m/>
    <m/>
    <m/>
    <m/>
    <m/>
    <m/>
    <m/>
  </r>
  <r>
    <x v="40"/>
    <x v="2"/>
    <s v="Lower middle income"/>
    <s v="Brazzaville"/>
    <s v="-4.2767"/>
    <s v="15.2662"/>
    <s v="COG"/>
    <x v="1"/>
    <x v="35"/>
    <x v="0"/>
    <m/>
    <m/>
    <m/>
    <m/>
    <m/>
    <m/>
    <m/>
    <m/>
    <m/>
  </r>
  <r>
    <x v="41"/>
    <x v="0"/>
    <s v="Upper middle income"/>
    <s v="Bogota"/>
    <s v="4.60987"/>
    <s v="-74.082"/>
    <s v="COL"/>
    <x v="1"/>
    <x v="36"/>
    <x v="0"/>
    <m/>
    <m/>
    <m/>
    <m/>
    <m/>
    <m/>
    <m/>
    <m/>
    <m/>
  </r>
  <r>
    <x v="42"/>
    <x v="2"/>
    <s v="Lower middle income"/>
    <s v="Moroni"/>
    <s v="-11.6986"/>
    <s v="43.2418"/>
    <s v="COM"/>
    <x v="1"/>
    <x v="37"/>
    <x v="0"/>
    <m/>
    <m/>
    <m/>
    <m/>
    <m/>
    <m/>
    <m/>
    <m/>
    <m/>
  </r>
  <r>
    <x v="43"/>
    <x v="2"/>
    <s v="Upper middle income"/>
    <s v="Praia"/>
    <s v="14.9218"/>
    <s v="-23.5087"/>
    <s v="CPV"/>
    <x v="1"/>
    <x v="38"/>
    <x v="0"/>
    <m/>
    <m/>
    <m/>
    <m/>
    <m/>
    <m/>
    <m/>
    <m/>
    <m/>
  </r>
  <r>
    <x v="44"/>
    <x v="0"/>
    <s v="High income"/>
    <s v="San Jose"/>
    <s v="9.63701"/>
    <s v="-84.0089"/>
    <s v="CRI"/>
    <x v="1"/>
    <x v="39"/>
    <x v="0"/>
    <m/>
    <m/>
    <m/>
    <m/>
    <m/>
    <m/>
    <m/>
    <m/>
    <m/>
  </r>
  <r>
    <x v="45"/>
    <x v="0"/>
    <s v="Upper middle income"/>
    <s v="Havana"/>
    <s v="23.1333"/>
    <s v="-82.3667"/>
    <m/>
    <x v="0"/>
    <x v="0"/>
    <x v="0"/>
    <m/>
    <m/>
    <m/>
    <m/>
    <m/>
    <m/>
    <m/>
    <m/>
    <m/>
  </r>
  <r>
    <x v="46"/>
    <x v="0"/>
    <s v="High income"/>
    <s v="Willemstad"/>
    <m/>
    <m/>
    <m/>
    <x v="0"/>
    <x v="0"/>
    <x v="0"/>
    <m/>
    <m/>
    <m/>
    <m/>
    <m/>
    <m/>
    <m/>
    <m/>
    <m/>
  </r>
  <r>
    <x v="47"/>
    <x v="0"/>
    <s v="High income"/>
    <s v="George Town"/>
    <s v="19.3022"/>
    <s v="-81.3857"/>
    <m/>
    <x v="0"/>
    <x v="0"/>
    <x v="11"/>
    <n v="60.2"/>
    <n v="85.6"/>
    <n v="92.1"/>
    <n v="115.8"/>
    <n v="6.36"/>
    <m/>
    <m/>
    <n v="2500"/>
    <m/>
  </r>
  <r>
    <x v="48"/>
    <x v="3"/>
    <s v="High income"/>
    <s v="Nicosia"/>
    <s v="35.1676"/>
    <s v="33.3736"/>
    <s v="CYP"/>
    <x v="1"/>
    <x v="40"/>
    <x v="0"/>
    <m/>
    <m/>
    <m/>
    <m/>
    <m/>
    <m/>
    <m/>
    <m/>
    <m/>
  </r>
  <r>
    <x v="49"/>
    <x v="3"/>
    <s v="High income"/>
    <s v="Prague"/>
    <s v="50.0878"/>
    <s v="14.4205"/>
    <s v="CZE"/>
    <x v="1"/>
    <x v="41"/>
    <x v="0"/>
    <m/>
    <m/>
    <m/>
    <m/>
    <m/>
    <m/>
    <m/>
    <m/>
    <m/>
  </r>
  <r>
    <x v="50"/>
    <x v="3"/>
    <s v="High income"/>
    <s v="Berlin"/>
    <s v="52.5235"/>
    <s v="13.4115"/>
    <s v="DEU"/>
    <x v="1"/>
    <x v="42"/>
    <x v="12"/>
    <n v="26.5"/>
    <n v="59.7"/>
    <n v="62.8"/>
    <n v="91.3"/>
    <n v="2.72"/>
    <n v="4.8499999999999996"/>
    <n v="112.3"/>
    <n v="850"/>
    <n v="170"/>
  </r>
  <r>
    <x v="51"/>
    <x v="1"/>
    <s v="Lower middle income"/>
    <s v="Djibouti"/>
    <s v="11.5806"/>
    <s v="43.1425"/>
    <s v="DJI"/>
    <x v="1"/>
    <x v="43"/>
    <x v="0"/>
    <m/>
    <m/>
    <m/>
    <m/>
    <n v="9.5299999999999994"/>
    <m/>
    <m/>
    <m/>
    <m/>
  </r>
  <r>
    <x v="52"/>
    <x v="0"/>
    <s v="Upper middle income"/>
    <s v="Roseau"/>
    <s v="15.2976"/>
    <s v="-61.39"/>
    <s v="DMA"/>
    <x v="1"/>
    <x v="44"/>
    <x v="0"/>
    <m/>
    <m/>
    <m/>
    <m/>
    <m/>
    <m/>
    <m/>
    <m/>
    <m/>
  </r>
  <r>
    <x v="53"/>
    <x v="3"/>
    <s v="High income"/>
    <s v="Copenhagen"/>
    <s v="55.6763"/>
    <s v="12.5681"/>
    <s v="DNK"/>
    <x v="1"/>
    <x v="45"/>
    <x v="13"/>
    <n v="36.4"/>
    <n v="67.2"/>
    <n v="75.3"/>
    <n v="102.8"/>
    <n v="3.48"/>
    <n v="5.42"/>
    <n v="128.5"/>
    <m/>
    <m/>
  </r>
  <r>
    <x v="54"/>
    <x v="0"/>
    <s v="Upper middle income"/>
    <s v="Santo Domingo"/>
    <s v="18.479"/>
    <s v="-69.8908"/>
    <s v="DOM"/>
    <x v="1"/>
    <x v="46"/>
    <x v="0"/>
    <m/>
    <m/>
    <m/>
    <m/>
    <m/>
    <m/>
    <m/>
    <m/>
    <m/>
  </r>
  <r>
    <x v="55"/>
    <x v="1"/>
    <s v="Upper middle income"/>
    <s v="Algiers"/>
    <s v="36.7397"/>
    <s v="3.05097"/>
    <s v="DZA"/>
    <x v="1"/>
    <x v="47"/>
    <x v="0"/>
    <m/>
    <m/>
    <m/>
    <m/>
    <m/>
    <m/>
    <m/>
    <m/>
    <m/>
  </r>
  <r>
    <x v="56"/>
    <x v="0"/>
    <s v="Upper middle income"/>
    <s v="Quito"/>
    <s v="-0.229498"/>
    <s v="-78.5243"/>
    <s v="ECU"/>
    <x v="1"/>
    <x v="48"/>
    <x v="0"/>
    <m/>
    <m/>
    <m/>
    <m/>
    <m/>
    <m/>
    <m/>
    <m/>
    <m/>
  </r>
  <r>
    <x v="57"/>
    <x v="1"/>
    <s v="Lower middle income"/>
    <s v="Cairo"/>
    <s v="30.0982"/>
    <s v="31.2461"/>
    <s v="EGY"/>
    <x v="1"/>
    <x v="49"/>
    <x v="0"/>
    <m/>
    <m/>
    <m/>
    <m/>
    <m/>
    <m/>
    <m/>
    <m/>
    <m/>
  </r>
  <r>
    <x v="58"/>
    <x v="2"/>
    <s v="Low income"/>
    <s v="Asmara"/>
    <s v="15.3315"/>
    <s v="38.9183"/>
    <m/>
    <x v="0"/>
    <x v="0"/>
    <x v="0"/>
    <m/>
    <m/>
    <m/>
    <m/>
    <m/>
    <m/>
    <m/>
    <m/>
    <m/>
  </r>
  <r>
    <x v="59"/>
    <x v="3"/>
    <s v="High income"/>
    <s v="Madrid"/>
    <s v="40.4167"/>
    <s v="-3.70327"/>
    <s v="ESP"/>
    <x v="1"/>
    <x v="50"/>
    <x v="14"/>
    <n v="22.4"/>
    <n v="56.8"/>
    <n v="58.9"/>
    <n v="82.1"/>
    <n v="2.58"/>
    <n v="4.08"/>
    <n v="92.6"/>
    <n v="480"/>
    <n v="95"/>
  </r>
  <r>
    <x v="60"/>
    <x v="3"/>
    <s v="High income"/>
    <s v="Tallinn"/>
    <s v="59.4392"/>
    <s v="24.7586"/>
    <s v="EST"/>
    <x v="1"/>
    <x v="51"/>
    <x v="0"/>
    <m/>
    <m/>
    <m/>
    <m/>
    <m/>
    <m/>
    <m/>
    <m/>
    <m/>
  </r>
  <r>
    <x v="61"/>
    <x v="2"/>
    <s v="Low income"/>
    <s v="Addis Ababa"/>
    <s v="9.02274"/>
    <s v="38.7468"/>
    <s v="ETH"/>
    <x v="1"/>
    <x v="52"/>
    <x v="0"/>
    <m/>
    <m/>
    <m/>
    <m/>
    <m/>
    <m/>
    <m/>
    <m/>
    <m/>
  </r>
  <r>
    <x v="62"/>
    <x v="3"/>
    <s v="High income"/>
    <s v="Helsinki"/>
    <s v="60.1608"/>
    <s v="24.9525"/>
    <s v="FIN"/>
    <x v="1"/>
    <x v="53"/>
    <x v="0"/>
    <m/>
    <m/>
    <m/>
    <m/>
    <m/>
    <n v="5.12"/>
    <n v="118.6"/>
    <m/>
    <m/>
  </r>
  <r>
    <x v="63"/>
    <x v="4"/>
    <s v="Upper middle income"/>
    <s v="Suva"/>
    <s v="-18.1149"/>
    <s v="178.399"/>
    <s v="FJI"/>
    <x v="1"/>
    <x v="54"/>
    <x v="0"/>
    <m/>
    <m/>
    <m/>
    <m/>
    <m/>
    <m/>
    <m/>
    <m/>
    <m/>
  </r>
  <r>
    <x v="64"/>
    <x v="3"/>
    <s v="High income"/>
    <s v="Paris"/>
    <s v="48.8566"/>
    <s v="2.35097"/>
    <s v="FRA"/>
    <x v="1"/>
    <x v="55"/>
    <x v="15"/>
    <n v="27.9"/>
    <n v="60.8"/>
    <n v="63.5"/>
    <n v="89.7"/>
    <n v="2.78"/>
    <n v="4.62"/>
    <n v="108.4"/>
    <n v="738"/>
    <n v="155"/>
  </r>
  <r>
    <x v="65"/>
    <x v="3"/>
    <s v="High income"/>
    <s v="Torshavn"/>
    <s v="61.8926"/>
    <s v="-6.91181"/>
    <m/>
    <x v="0"/>
    <x v="0"/>
    <x v="0"/>
    <m/>
    <m/>
    <m/>
    <m/>
    <m/>
    <m/>
    <m/>
    <m/>
    <m/>
  </r>
  <r>
    <x v="66"/>
    <x v="4"/>
    <s v="Upper middle income"/>
    <s v="Palikir"/>
    <s v="6.91771"/>
    <s v="158.185"/>
    <s v="FSM"/>
    <x v="3"/>
    <x v="56"/>
    <x v="0"/>
    <m/>
    <m/>
    <m/>
    <m/>
    <m/>
    <m/>
    <m/>
    <m/>
    <m/>
  </r>
  <r>
    <x v="67"/>
    <x v="2"/>
    <s v="Upper middle income"/>
    <s v="Libreville"/>
    <s v="0.38832"/>
    <s v="9.45162"/>
    <s v="GAB"/>
    <x v="1"/>
    <x v="57"/>
    <x v="0"/>
    <m/>
    <m/>
    <m/>
    <m/>
    <m/>
    <m/>
    <m/>
    <m/>
    <m/>
  </r>
  <r>
    <x v="68"/>
    <x v="3"/>
    <s v="High income"/>
    <s v="London"/>
    <s v="51.5002"/>
    <s v="-0.126236"/>
    <s v="GBR"/>
    <x v="1"/>
    <x v="58"/>
    <x v="16"/>
    <n v="30.5"/>
    <n v="63.2"/>
    <n v="66.7"/>
    <n v="90.2"/>
    <n v="3.12"/>
    <n v="4.4800000000000004"/>
    <n v="105.2"/>
    <n v="1235"/>
    <n v="160"/>
  </r>
  <r>
    <x v="69"/>
    <x v="3"/>
    <s v="Upper middle income"/>
    <s v="Tbilisi"/>
    <s v="41.71"/>
    <s v="44.793"/>
    <s v="GEO"/>
    <x v="1"/>
    <x v="59"/>
    <x v="0"/>
    <m/>
    <m/>
    <m/>
    <m/>
    <m/>
    <m/>
    <m/>
    <m/>
    <m/>
  </r>
  <r>
    <x v="70"/>
    <x v="2"/>
    <s v="Lower middle income"/>
    <s v="Accra"/>
    <s v="5.57045"/>
    <s v="-0.20795"/>
    <s v="GHA"/>
    <x v="1"/>
    <x v="60"/>
    <x v="0"/>
    <m/>
    <m/>
    <m/>
    <m/>
    <m/>
    <m/>
    <m/>
    <m/>
    <m/>
  </r>
  <r>
    <x v="71"/>
    <x v="3"/>
    <s v="High income"/>
    <m/>
    <m/>
    <m/>
    <m/>
    <x v="0"/>
    <x v="0"/>
    <x v="0"/>
    <m/>
    <m/>
    <m/>
    <m/>
    <m/>
    <m/>
    <m/>
    <m/>
    <m/>
  </r>
  <r>
    <x v="72"/>
    <x v="2"/>
    <s v="Lower middle income"/>
    <s v="Conakry"/>
    <s v="9.51667"/>
    <s v="-13.7"/>
    <s v="GIN"/>
    <x v="1"/>
    <x v="61"/>
    <x v="0"/>
    <m/>
    <m/>
    <m/>
    <m/>
    <m/>
    <m/>
    <m/>
    <m/>
    <m/>
  </r>
  <r>
    <x v="73"/>
    <x v="2"/>
    <s v="Low income"/>
    <s v="Banjul"/>
    <s v="13.4495"/>
    <s v="-16.5885"/>
    <s v="GMB"/>
    <x v="1"/>
    <x v="62"/>
    <x v="0"/>
    <m/>
    <m/>
    <m/>
    <m/>
    <m/>
    <m/>
    <m/>
    <m/>
    <m/>
  </r>
  <r>
    <x v="74"/>
    <x v="2"/>
    <s v="Low income"/>
    <s v="Bissau"/>
    <s v="11.8037"/>
    <s v="-15.1804"/>
    <s v="GNB"/>
    <x v="1"/>
    <x v="63"/>
    <x v="0"/>
    <m/>
    <m/>
    <m/>
    <m/>
    <m/>
    <m/>
    <m/>
    <m/>
    <m/>
  </r>
  <r>
    <x v="75"/>
    <x v="2"/>
    <s v="Upper middle income"/>
    <s v="Malabo"/>
    <s v="3.7523"/>
    <s v="8.7741"/>
    <s v="GNQ"/>
    <x v="1"/>
    <x v="64"/>
    <x v="0"/>
    <m/>
    <m/>
    <m/>
    <m/>
    <m/>
    <m/>
    <m/>
    <m/>
    <m/>
  </r>
  <r>
    <x v="76"/>
    <x v="3"/>
    <s v="High income"/>
    <s v="Athens"/>
    <s v="37.9792"/>
    <s v="23.7166"/>
    <s v="GRC"/>
    <x v="1"/>
    <x v="65"/>
    <x v="17"/>
    <n v="19.2"/>
    <n v="53.8"/>
    <n v="55.1"/>
    <n v="76.400000000000006"/>
    <n v="2.38"/>
    <n v="3.62"/>
    <n v="78.2"/>
    <n v="380"/>
    <n v="75"/>
  </r>
  <r>
    <x v="77"/>
    <x v="0"/>
    <s v="Upper middle income"/>
    <s v="Saint George's"/>
    <s v="12.0653"/>
    <s v="-61.7449"/>
    <s v="GRD"/>
    <x v="1"/>
    <x v="66"/>
    <x v="0"/>
    <m/>
    <m/>
    <m/>
    <m/>
    <m/>
    <m/>
    <m/>
    <m/>
    <m/>
  </r>
  <r>
    <x v="78"/>
    <x v="3"/>
    <s v="High income"/>
    <s v="Nuuk"/>
    <s v="64.1836"/>
    <s v="-51.7214"/>
    <m/>
    <x v="0"/>
    <x v="0"/>
    <x v="0"/>
    <m/>
    <m/>
    <m/>
    <m/>
    <m/>
    <m/>
    <m/>
    <m/>
    <m/>
  </r>
  <r>
    <x v="79"/>
    <x v="0"/>
    <s v="Upper middle income"/>
    <s v="Guatemala City"/>
    <s v="14.6248"/>
    <s v="-90.5328"/>
    <s v="GTM"/>
    <x v="1"/>
    <x v="67"/>
    <x v="0"/>
    <m/>
    <m/>
    <m/>
    <m/>
    <m/>
    <m/>
    <m/>
    <m/>
    <m/>
  </r>
  <r>
    <x v="80"/>
    <x v="4"/>
    <s v="High income"/>
    <s v="Agana"/>
    <s v="13.4443"/>
    <s v="144.794"/>
    <m/>
    <x v="0"/>
    <x v="0"/>
    <x v="0"/>
    <m/>
    <m/>
    <m/>
    <m/>
    <m/>
    <m/>
    <m/>
    <m/>
    <m/>
  </r>
  <r>
    <x v="81"/>
    <x v="0"/>
    <s v="High income"/>
    <s v="Georgetown"/>
    <s v="6.80461"/>
    <s v="-58.1548"/>
    <s v="GUY"/>
    <x v="1"/>
    <x v="68"/>
    <x v="0"/>
    <m/>
    <m/>
    <m/>
    <m/>
    <m/>
    <m/>
    <m/>
    <m/>
    <m/>
  </r>
  <r>
    <x v="82"/>
    <x v="4"/>
    <s v="High income"/>
    <m/>
    <s v="22.3964"/>
    <s v="114.109"/>
    <s v="HKG"/>
    <x v="1"/>
    <x v="69"/>
    <x v="0"/>
    <m/>
    <m/>
    <m/>
    <m/>
    <m/>
    <m/>
    <m/>
    <m/>
    <m/>
  </r>
  <r>
    <x v="83"/>
    <x v="0"/>
    <s v="Lower middle income"/>
    <s v="Tegucigalpa"/>
    <s v="15.1333"/>
    <s v="-87.4667"/>
    <s v="HND"/>
    <x v="1"/>
    <x v="70"/>
    <x v="0"/>
    <m/>
    <m/>
    <m/>
    <m/>
    <m/>
    <m/>
    <m/>
    <m/>
    <m/>
  </r>
  <r>
    <x v="84"/>
    <x v="3"/>
    <s v="High income"/>
    <s v="Zagreb"/>
    <s v="45.8069"/>
    <s v="15.9614"/>
    <s v="HRV"/>
    <x v="1"/>
    <x v="71"/>
    <x v="0"/>
    <m/>
    <m/>
    <m/>
    <m/>
    <m/>
    <m/>
    <m/>
    <m/>
    <m/>
  </r>
  <r>
    <x v="85"/>
    <x v="0"/>
    <s v="Lower middle income"/>
    <s v="Port-au-Prince"/>
    <s v="18.5392"/>
    <s v="-72.3288"/>
    <s v="HTI"/>
    <x v="1"/>
    <x v="72"/>
    <x v="0"/>
    <m/>
    <m/>
    <m/>
    <m/>
    <m/>
    <m/>
    <m/>
    <m/>
    <m/>
  </r>
  <r>
    <x v="86"/>
    <x v="3"/>
    <s v="High income"/>
    <s v="Budapest"/>
    <s v="47.4984"/>
    <s v="19.0408"/>
    <s v="HUN"/>
    <x v="1"/>
    <x v="73"/>
    <x v="0"/>
    <m/>
    <m/>
    <m/>
    <m/>
    <m/>
    <m/>
    <m/>
    <m/>
    <m/>
  </r>
  <r>
    <x v="87"/>
    <x v="4"/>
    <s v="Upper middle income"/>
    <s v="Jakarta"/>
    <s v="-6.19752"/>
    <s v="106.83"/>
    <s v="IDN"/>
    <x v="1"/>
    <x v="74"/>
    <x v="18"/>
    <n v="12.8"/>
    <n v="45.1"/>
    <n v="45.8"/>
    <n v="60.8"/>
    <n v="1.45"/>
    <n v="2.0499999999999998"/>
    <n v="32.4"/>
    <n v="305"/>
    <n v="55"/>
  </r>
  <r>
    <x v="88"/>
    <x v="3"/>
    <s v="High income"/>
    <s v="Douglas"/>
    <s v="54.1509"/>
    <s v="-4.47928"/>
    <m/>
    <x v="0"/>
    <x v="0"/>
    <x v="0"/>
    <m/>
    <m/>
    <m/>
    <m/>
    <m/>
    <m/>
    <m/>
    <m/>
    <m/>
  </r>
  <r>
    <x v="89"/>
    <x v="5"/>
    <s v="Lower middle income"/>
    <s v="New Delhi"/>
    <s v="28.6353"/>
    <s v="77.225"/>
    <s v="IND"/>
    <x v="1"/>
    <x v="75"/>
    <x v="19"/>
    <n v="13.5"/>
    <n v="46.2"/>
    <n v="47.1"/>
    <n v="62.5"/>
    <n v="1.52"/>
    <n v="2.1800000000000002"/>
    <n v="35.200000000000003"/>
    <n v="164"/>
    <n v="45"/>
  </r>
  <r>
    <x v="90"/>
    <x v="3"/>
    <s v="High income"/>
    <s v="Dublin"/>
    <s v="53.3441"/>
    <s v="-6.26749"/>
    <s v="IRL"/>
    <x v="1"/>
    <x v="76"/>
    <x v="20"/>
    <n v="40.200000000000003"/>
    <n v="64.7"/>
    <n v="70.099999999999994"/>
    <n v="92.4"/>
    <m/>
    <m/>
    <m/>
    <m/>
    <m/>
  </r>
  <r>
    <x v="91"/>
    <x v="1"/>
    <s v="Upper middle income"/>
    <s v="Tehran"/>
    <s v="35.6878"/>
    <s v="51.4447"/>
    <s v="IRN"/>
    <x v="1"/>
    <x v="77"/>
    <x v="0"/>
    <m/>
    <m/>
    <m/>
    <m/>
    <m/>
    <m/>
    <m/>
    <m/>
    <m/>
  </r>
  <r>
    <x v="92"/>
    <x v="1"/>
    <s v="Upper middle income"/>
    <s v="Baghdad"/>
    <s v="33.3302"/>
    <s v="44.394"/>
    <s v="IRQ"/>
    <x v="1"/>
    <x v="78"/>
    <x v="0"/>
    <m/>
    <m/>
    <m/>
    <m/>
    <m/>
    <m/>
    <m/>
    <m/>
    <m/>
  </r>
  <r>
    <x v="93"/>
    <x v="3"/>
    <s v="High income"/>
    <s v="Reykjavik"/>
    <s v="64.1353"/>
    <s v="-21.8952"/>
    <s v="ISL"/>
    <x v="1"/>
    <x v="79"/>
    <x v="21"/>
    <n v="45.6"/>
    <n v="72.3"/>
    <n v="82.1"/>
    <n v="98.7"/>
    <n v="4.26"/>
    <n v="7.94"/>
    <n v="131.85"/>
    <m/>
    <m/>
  </r>
  <r>
    <x v="94"/>
    <x v="1"/>
    <s v="High income"/>
    <m/>
    <s v="31.7717"/>
    <s v="35.2035"/>
    <s v="ISR"/>
    <x v="1"/>
    <x v="80"/>
    <x v="0"/>
    <m/>
    <m/>
    <m/>
    <m/>
    <m/>
    <m/>
    <m/>
    <m/>
    <m/>
  </r>
  <r>
    <x v="95"/>
    <x v="3"/>
    <s v="High income"/>
    <s v="Rome"/>
    <s v="41.8955"/>
    <s v="12.4823"/>
    <s v="ITA"/>
    <x v="1"/>
    <x v="81"/>
    <x v="22"/>
    <n v="23.7"/>
    <n v="58.2"/>
    <n v="60.5"/>
    <n v="83.6"/>
    <n v="2.65"/>
    <n v="4.25"/>
    <n v="98.5"/>
    <n v="550"/>
    <n v="110"/>
  </r>
  <r>
    <x v="96"/>
    <x v="0"/>
    <s v="Upper middle income"/>
    <s v="Kingston"/>
    <s v="17.9927"/>
    <s v="-76.792"/>
    <s v="JAM"/>
    <x v="1"/>
    <x v="82"/>
    <x v="0"/>
    <m/>
    <m/>
    <m/>
    <m/>
    <m/>
    <m/>
    <m/>
    <m/>
    <m/>
  </r>
  <r>
    <x v="97"/>
    <x v="1"/>
    <s v="Upper middle income"/>
    <s v="Amman"/>
    <s v="31.9497"/>
    <s v="35.9263"/>
    <s v="JOR"/>
    <x v="1"/>
    <x v="83"/>
    <x v="0"/>
    <m/>
    <m/>
    <m/>
    <m/>
    <m/>
    <m/>
    <m/>
    <m/>
    <m/>
  </r>
  <r>
    <x v="98"/>
    <x v="4"/>
    <s v="High income"/>
    <s v="Tokyo"/>
    <s v="35.67"/>
    <s v="139.77"/>
    <s v="JPN"/>
    <x v="1"/>
    <x v="84"/>
    <x v="23"/>
    <n v="24.8"/>
    <n v="58.9"/>
    <n v="61.2"/>
    <n v="85.4"/>
    <n v="2.85"/>
    <m/>
    <m/>
    <n v="750"/>
    <n v="130"/>
  </r>
  <r>
    <x v="99"/>
    <x v="3"/>
    <s v="Upper middle income"/>
    <s v="Astana"/>
    <s v="51.1879"/>
    <s v="71.4382"/>
    <s v="KAZ"/>
    <x v="1"/>
    <x v="85"/>
    <x v="0"/>
    <m/>
    <m/>
    <m/>
    <m/>
    <n v="0.44"/>
    <m/>
    <m/>
    <m/>
    <m/>
  </r>
  <r>
    <x v="100"/>
    <x v="2"/>
    <s v="Lower middle income"/>
    <s v="Nairobi"/>
    <s v="-1.27975"/>
    <s v="36.8126"/>
    <s v="KEN"/>
    <x v="1"/>
    <x v="86"/>
    <x v="0"/>
    <m/>
    <m/>
    <m/>
    <m/>
    <m/>
    <m/>
    <m/>
    <m/>
    <m/>
  </r>
  <r>
    <x v="101"/>
    <x v="3"/>
    <s v="Lower middle income"/>
    <s v="Bishkek"/>
    <s v="42.8851"/>
    <s v="74.6057"/>
    <s v="KGZ"/>
    <x v="1"/>
    <x v="87"/>
    <x v="0"/>
    <m/>
    <m/>
    <m/>
    <m/>
    <m/>
    <m/>
    <m/>
    <m/>
    <m/>
  </r>
  <r>
    <x v="102"/>
    <x v="4"/>
    <s v="Lower middle income"/>
    <s v="Phnom Penh"/>
    <s v="11.5556"/>
    <s v="104.874"/>
    <s v="KHM"/>
    <x v="1"/>
    <x v="88"/>
    <x v="24"/>
    <n v="14.5"/>
    <n v="48.2"/>
    <n v="48.5"/>
    <n v="65.2"/>
    <m/>
    <m/>
    <m/>
    <n v="160"/>
    <m/>
  </r>
  <r>
    <x v="103"/>
    <x v="4"/>
    <s v="Lower middle income"/>
    <s v="Tarawa"/>
    <s v="1.32905"/>
    <s v="172.979"/>
    <s v="KIR"/>
    <x v="1"/>
    <x v="89"/>
    <x v="0"/>
    <m/>
    <m/>
    <m/>
    <m/>
    <m/>
    <m/>
    <m/>
    <m/>
    <m/>
  </r>
  <r>
    <x v="104"/>
    <x v="0"/>
    <s v="High income"/>
    <s v="Basseterre"/>
    <s v="17.3"/>
    <s v="-62.7309"/>
    <s v="KNA"/>
    <x v="2"/>
    <x v="90"/>
    <x v="0"/>
    <m/>
    <m/>
    <m/>
    <m/>
    <m/>
    <m/>
    <m/>
    <m/>
    <m/>
  </r>
  <r>
    <x v="105"/>
    <x v="4"/>
    <s v="High income"/>
    <s v="Seoul"/>
    <s v="37.5323"/>
    <s v="126.957"/>
    <s v="KOR"/>
    <x v="1"/>
    <x v="91"/>
    <x v="0"/>
    <m/>
    <m/>
    <m/>
    <m/>
    <m/>
    <m/>
    <m/>
    <m/>
    <m/>
  </r>
  <r>
    <x v="106"/>
    <x v="1"/>
    <s v="High income"/>
    <s v="Kuwait City"/>
    <s v="29.3721"/>
    <s v="47.9824"/>
    <s v="KWT"/>
    <x v="1"/>
    <x v="92"/>
    <x v="25"/>
    <n v="27.8"/>
    <n v="63.8"/>
    <n v="65.2"/>
    <n v="88.2"/>
    <m/>
    <m/>
    <m/>
    <n v="680"/>
    <m/>
  </r>
  <r>
    <x v="107"/>
    <x v="4"/>
    <s v="Lower middle income"/>
    <s v="Vientiane"/>
    <s v="18.5826"/>
    <s v="102.177"/>
    <s v="LAO"/>
    <x v="1"/>
    <x v="93"/>
    <x v="0"/>
    <m/>
    <m/>
    <m/>
    <m/>
    <m/>
    <m/>
    <m/>
    <m/>
    <m/>
  </r>
  <r>
    <x v="108"/>
    <x v="1"/>
    <s v="Lower middle income"/>
    <s v="Beirut"/>
    <s v="33.8872"/>
    <s v="35.5134"/>
    <s v="LBN"/>
    <x v="1"/>
    <x v="94"/>
    <x v="0"/>
    <m/>
    <m/>
    <m/>
    <m/>
    <m/>
    <m/>
    <m/>
    <m/>
    <m/>
  </r>
  <r>
    <x v="109"/>
    <x v="2"/>
    <s v="Low income"/>
    <s v="Monrovia"/>
    <s v="6.30039"/>
    <s v="-10.7957"/>
    <s v="LBR"/>
    <x v="1"/>
    <x v="95"/>
    <x v="0"/>
    <m/>
    <m/>
    <m/>
    <m/>
    <m/>
    <m/>
    <m/>
    <m/>
    <m/>
  </r>
  <r>
    <x v="110"/>
    <x v="1"/>
    <s v="Upper middle income"/>
    <s v="Tripoli"/>
    <s v="32.8578"/>
    <s v="13.1072"/>
    <s v="LBY"/>
    <x v="1"/>
    <x v="96"/>
    <x v="0"/>
    <m/>
    <m/>
    <m/>
    <m/>
    <m/>
    <m/>
    <m/>
    <m/>
    <m/>
  </r>
  <r>
    <x v="111"/>
    <x v="0"/>
    <s v="Upper middle income"/>
    <s v="Castries"/>
    <s v="14"/>
    <s v="-60.9832"/>
    <s v="LCA"/>
    <x v="1"/>
    <x v="97"/>
    <x v="0"/>
    <m/>
    <m/>
    <m/>
    <m/>
    <m/>
    <m/>
    <m/>
    <m/>
    <m/>
  </r>
  <r>
    <x v="112"/>
    <x v="3"/>
    <s v="High income"/>
    <s v="Vaduz"/>
    <s v="47.1411"/>
    <s v="9.52148"/>
    <m/>
    <x v="0"/>
    <x v="0"/>
    <x v="0"/>
    <m/>
    <m/>
    <m/>
    <m/>
    <m/>
    <m/>
    <m/>
    <m/>
    <m/>
  </r>
  <r>
    <x v="113"/>
    <x v="5"/>
    <s v="Upper middle income"/>
    <s v="Colombo"/>
    <s v="6.92148"/>
    <s v="79.8528"/>
    <s v="LKA"/>
    <x v="1"/>
    <x v="98"/>
    <x v="26"/>
    <n v="17.2"/>
    <n v="50.8"/>
    <n v="51.5"/>
    <n v="70.2"/>
    <m/>
    <n v="0.27"/>
    <n v="9.93"/>
    <n v="200"/>
    <m/>
  </r>
  <r>
    <x v="114"/>
    <x v="2"/>
    <s v="Lower middle income"/>
    <s v="Maseru"/>
    <s v="-29.5208"/>
    <s v="27.7167"/>
    <s v="LSO"/>
    <x v="1"/>
    <x v="99"/>
    <x v="0"/>
    <m/>
    <m/>
    <m/>
    <m/>
    <m/>
    <m/>
    <m/>
    <m/>
    <m/>
  </r>
  <r>
    <x v="115"/>
    <x v="3"/>
    <s v="High income"/>
    <s v="Vilnius"/>
    <s v="54.6896"/>
    <s v="25.2799"/>
    <s v="LTU"/>
    <x v="1"/>
    <x v="100"/>
    <x v="0"/>
    <m/>
    <m/>
    <m/>
    <m/>
    <m/>
    <m/>
    <m/>
    <m/>
    <m/>
  </r>
  <r>
    <x v="116"/>
    <x v="3"/>
    <s v="High income"/>
    <s v="Luxembourg"/>
    <s v="49.61"/>
    <s v="6.1296"/>
    <s v="LUX"/>
    <x v="1"/>
    <x v="101"/>
    <x v="0"/>
    <m/>
    <m/>
    <m/>
    <m/>
    <m/>
    <m/>
    <m/>
    <m/>
    <m/>
  </r>
  <r>
    <x v="117"/>
    <x v="3"/>
    <s v="High income"/>
    <s v="Riga"/>
    <s v="56.9465"/>
    <s v="24.1048"/>
    <s v="LVA"/>
    <x v="1"/>
    <x v="102"/>
    <x v="0"/>
    <m/>
    <m/>
    <m/>
    <m/>
    <m/>
    <m/>
    <m/>
    <m/>
    <m/>
  </r>
  <r>
    <x v="118"/>
    <x v="4"/>
    <s v="High income"/>
    <m/>
    <s v="22.1667"/>
    <s v="113.55"/>
    <s v="MAC"/>
    <x v="1"/>
    <x v="103"/>
    <x v="0"/>
    <m/>
    <m/>
    <m/>
    <m/>
    <m/>
    <m/>
    <m/>
    <m/>
    <m/>
  </r>
  <r>
    <x v="119"/>
    <x v="0"/>
    <s v="High income"/>
    <s v="Marigot"/>
    <m/>
    <m/>
    <m/>
    <x v="0"/>
    <x v="0"/>
    <x v="0"/>
    <m/>
    <m/>
    <m/>
    <m/>
    <m/>
    <m/>
    <m/>
    <m/>
    <m/>
  </r>
  <r>
    <x v="120"/>
    <x v="1"/>
    <s v="Lower middle income"/>
    <s v="Rabat"/>
    <s v="33.9905"/>
    <s v="-6.8704"/>
    <s v="MAR"/>
    <x v="1"/>
    <x v="104"/>
    <x v="0"/>
    <m/>
    <m/>
    <m/>
    <m/>
    <m/>
    <m/>
    <m/>
    <m/>
    <m/>
  </r>
  <r>
    <x v="121"/>
    <x v="3"/>
    <s v="High income"/>
    <s v="Monaco"/>
    <s v="43.7325"/>
    <s v="7.41891"/>
    <m/>
    <x v="0"/>
    <x v="0"/>
    <x v="0"/>
    <m/>
    <m/>
    <m/>
    <m/>
    <n v="5.37"/>
    <m/>
    <m/>
    <m/>
    <m/>
  </r>
  <r>
    <x v="122"/>
    <x v="3"/>
    <s v="Upper middle income"/>
    <s v="Chisinau"/>
    <s v="47.0167"/>
    <s v="28.8497"/>
    <s v="MDA"/>
    <x v="1"/>
    <x v="105"/>
    <x v="0"/>
    <m/>
    <m/>
    <m/>
    <m/>
    <m/>
    <m/>
    <m/>
    <m/>
    <m/>
  </r>
  <r>
    <x v="123"/>
    <x v="2"/>
    <s v="Low income"/>
    <s v="Antananarivo"/>
    <s v="-20.4667"/>
    <s v="45.7167"/>
    <s v="MDG"/>
    <x v="1"/>
    <x v="106"/>
    <x v="0"/>
    <m/>
    <m/>
    <m/>
    <m/>
    <m/>
    <m/>
    <m/>
    <m/>
    <m/>
  </r>
  <r>
    <x v="124"/>
    <x v="5"/>
    <s v="Upper middle income"/>
    <s v="Male"/>
    <s v="4.1742"/>
    <s v="73.5109"/>
    <s v="MDV"/>
    <x v="1"/>
    <x v="107"/>
    <x v="0"/>
    <m/>
    <m/>
    <m/>
    <m/>
    <m/>
    <m/>
    <m/>
    <m/>
    <m/>
  </r>
  <r>
    <x v="125"/>
    <x v="0"/>
    <s v="Upper middle income"/>
    <s v="Mexico City"/>
    <s v="19.427"/>
    <s v="-99.1276"/>
    <s v="MEX"/>
    <x v="1"/>
    <x v="108"/>
    <x v="27"/>
    <n v="16.8"/>
    <n v="50.1"/>
    <n v="51.2"/>
    <n v="69.8"/>
    <n v="1.98"/>
    <n v="3.05"/>
    <n v="58.2"/>
    <n v="350"/>
    <n v="55"/>
  </r>
  <r>
    <x v="126"/>
    <x v="4"/>
    <s v="Upper middle income"/>
    <s v="Majuro"/>
    <s v="7.11046"/>
    <s v="171.135"/>
    <m/>
    <x v="0"/>
    <x v="0"/>
    <x v="0"/>
    <m/>
    <m/>
    <m/>
    <m/>
    <m/>
    <m/>
    <m/>
    <m/>
    <m/>
  </r>
  <r>
    <x v="127"/>
    <x v="3"/>
    <s v="Upper middle income"/>
    <s v="Skopje"/>
    <s v="42.0024"/>
    <s v="21.4361"/>
    <s v="MKD"/>
    <x v="1"/>
    <x v="109"/>
    <x v="0"/>
    <m/>
    <m/>
    <m/>
    <m/>
    <m/>
    <m/>
    <m/>
    <m/>
    <m/>
  </r>
  <r>
    <x v="128"/>
    <x v="2"/>
    <s v="Low income"/>
    <s v="Bamako"/>
    <s v="13.5667"/>
    <s v="-7.50034"/>
    <s v="MLI"/>
    <x v="1"/>
    <x v="110"/>
    <x v="0"/>
    <m/>
    <m/>
    <m/>
    <m/>
    <m/>
    <m/>
    <m/>
    <m/>
    <m/>
  </r>
  <r>
    <x v="129"/>
    <x v="1"/>
    <s v="High income"/>
    <s v="Valletta"/>
    <s v="35.9042"/>
    <s v="14.5189"/>
    <s v="MLT"/>
    <x v="1"/>
    <x v="111"/>
    <x v="0"/>
    <m/>
    <m/>
    <m/>
    <m/>
    <m/>
    <m/>
    <m/>
    <m/>
    <m/>
  </r>
  <r>
    <x v="130"/>
    <x v="4"/>
    <s v="Lower middle income"/>
    <s v="Naypyidaw"/>
    <s v="21.914"/>
    <s v="95.9562"/>
    <m/>
    <x v="0"/>
    <x v="0"/>
    <x v="28"/>
    <n v="13.2"/>
    <n v="46.8"/>
    <n v="46.9"/>
    <n v="62.8"/>
    <m/>
    <m/>
    <m/>
    <n v="140"/>
    <m/>
  </r>
  <r>
    <x v="131"/>
    <x v="3"/>
    <s v="Upper middle income"/>
    <s v="Podgorica"/>
    <s v="42.4602"/>
    <s v="19.2595"/>
    <s v="MNE"/>
    <x v="1"/>
    <x v="112"/>
    <x v="0"/>
    <m/>
    <m/>
    <m/>
    <m/>
    <m/>
    <m/>
    <m/>
    <m/>
    <m/>
  </r>
  <r>
    <x v="132"/>
    <x v="4"/>
    <s v="Upper middle income"/>
    <s v="Ulaanbaatar"/>
    <s v="47.9129"/>
    <s v="106.937"/>
    <s v="MNG"/>
    <x v="1"/>
    <x v="113"/>
    <x v="29"/>
    <n v="12.5"/>
    <n v="45.5"/>
    <n v="45.8"/>
    <n v="60.5"/>
    <m/>
    <m/>
    <m/>
    <m/>
    <m/>
  </r>
  <r>
    <x v="133"/>
    <x v="4"/>
    <s v="High income"/>
    <s v="Saipan"/>
    <s v="15.1935"/>
    <s v="145.765"/>
    <m/>
    <x v="0"/>
    <x v="0"/>
    <x v="0"/>
    <m/>
    <m/>
    <m/>
    <m/>
    <m/>
    <m/>
    <m/>
    <m/>
    <m/>
  </r>
  <r>
    <x v="134"/>
    <x v="2"/>
    <s v="Low income"/>
    <s v="Maputo"/>
    <s v="-25.9664"/>
    <s v="32.5713"/>
    <s v="MOZ"/>
    <x v="1"/>
    <x v="114"/>
    <x v="0"/>
    <m/>
    <m/>
    <m/>
    <m/>
    <m/>
    <m/>
    <m/>
    <m/>
    <m/>
  </r>
  <r>
    <x v="135"/>
    <x v="2"/>
    <s v="Lower middle income"/>
    <s v="Nouakchott"/>
    <s v="18.2367"/>
    <s v="-15.9824"/>
    <s v="MRT"/>
    <x v="1"/>
    <x v="115"/>
    <x v="0"/>
    <m/>
    <m/>
    <m/>
    <m/>
    <m/>
    <m/>
    <m/>
    <m/>
    <m/>
  </r>
  <r>
    <x v="136"/>
    <x v="2"/>
    <s v="Upper middle income"/>
    <s v="Port Louis"/>
    <s v="-20.1605"/>
    <s v="57.4977"/>
    <s v="MUS"/>
    <x v="1"/>
    <x v="116"/>
    <x v="0"/>
    <m/>
    <m/>
    <m/>
    <m/>
    <m/>
    <m/>
    <m/>
    <m/>
    <m/>
  </r>
  <r>
    <x v="137"/>
    <x v="2"/>
    <s v="Low income"/>
    <s v="Lilongwe"/>
    <s v="-13.9899"/>
    <s v="33.7703"/>
    <s v="MWI"/>
    <x v="1"/>
    <x v="117"/>
    <x v="0"/>
    <m/>
    <m/>
    <m/>
    <m/>
    <m/>
    <m/>
    <m/>
    <m/>
    <m/>
  </r>
  <r>
    <x v="138"/>
    <x v="4"/>
    <s v="Upper middle income"/>
    <s v="Kuala Lumpur"/>
    <s v="3.12433"/>
    <s v="101.684"/>
    <s v="MYS"/>
    <x v="1"/>
    <x v="118"/>
    <x v="30"/>
    <n v="19.5"/>
    <n v="53.8"/>
    <n v="54.8"/>
    <n v="75.2"/>
    <m/>
    <m/>
    <m/>
    <n v="380"/>
    <m/>
  </r>
  <r>
    <x v="139"/>
    <x v="2"/>
    <s v="Lower middle income"/>
    <s v="Windhoek"/>
    <s v="-22.5648"/>
    <s v="17.0931"/>
    <s v="NAM"/>
    <x v="1"/>
    <x v="119"/>
    <x v="0"/>
    <m/>
    <m/>
    <m/>
    <m/>
    <m/>
    <m/>
    <m/>
    <m/>
    <m/>
  </r>
  <r>
    <x v="140"/>
    <x v="4"/>
    <s v="High income"/>
    <s v="Noum'ea"/>
    <s v="-22.2677"/>
    <s v="166.464"/>
    <m/>
    <x v="0"/>
    <x v="0"/>
    <x v="0"/>
    <m/>
    <m/>
    <m/>
    <m/>
    <m/>
    <m/>
    <m/>
    <m/>
    <m/>
  </r>
  <r>
    <x v="141"/>
    <x v="2"/>
    <s v="Low income"/>
    <s v="Niamey"/>
    <s v="13.514"/>
    <s v="2.1073"/>
    <s v="NER"/>
    <x v="1"/>
    <x v="120"/>
    <x v="0"/>
    <m/>
    <m/>
    <m/>
    <m/>
    <m/>
    <m/>
    <m/>
    <m/>
    <m/>
  </r>
  <r>
    <x v="142"/>
    <x v="2"/>
    <s v="Lower middle income"/>
    <s v="Abuja"/>
    <s v="9.05804"/>
    <s v="7.48906"/>
    <s v="NGA"/>
    <x v="1"/>
    <x v="121"/>
    <x v="31"/>
    <n v="9.5"/>
    <n v="39.200000000000003"/>
    <n v="39.5"/>
    <n v="52.5"/>
    <n v="1.05"/>
    <n v="1.32"/>
    <n v="16.2"/>
    <n v="180"/>
    <n v="40"/>
  </r>
  <r>
    <x v="143"/>
    <x v="0"/>
    <s v="Lower middle income"/>
    <s v="Managua"/>
    <s v="12.1475"/>
    <s v="-86.2734"/>
    <s v="NIC"/>
    <x v="1"/>
    <x v="122"/>
    <x v="0"/>
    <m/>
    <m/>
    <m/>
    <m/>
    <m/>
    <n v="0.21"/>
    <n v="9.02"/>
    <m/>
    <m/>
  </r>
  <r>
    <x v="144"/>
    <x v="3"/>
    <s v="High income"/>
    <s v="Amsterdam"/>
    <s v="52.3738"/>
    <s v="4.89095"/>
    <s v="NLD"/>
    <x v="1"/>
    <x v="123"/>
    <x v="0"/>
    <m/>
    <m/>
    <m/>
    <m/>
    <m/>
    <n v="5.67"/>
    <n v="139.68"/>
    <m/>
    <m/>
  </r>
  <r>
    <x v="145"/>
    <x v="3"/>
    <s v="High income"/>
    <s v="Oslo"/>
    <s v="59.9138"/>
    <s v="10.7387"/>
    <s v="NOR"/>
    <x v="1"/>
    <x v="124"/>
    <x v="32"/>
    <n v="38.9"/>
    <n v="69.8"/>
    <n v="78.5"/>
    <n v="105.3"/>
    <n v="3.52"/>
    <n v="6.54"/>
    <n v="145.19999999999999"/>
    <m/>
    <m/>
  </r>
  <r>
    <x v="146"/>
    <x v="5"/>
    <s v="Lower middle income"/>
    <s v="Kathmandu"/>
    <s v="27.6939"/>
    <s v="85.3157"/>
    <s v="NPL"/>
    <x v="1"/>
    <x v="125"/>
    <x v="33"/>
    <n v="15.8"/>
    <n v="49.2"/>
    <n v="49.8"/>
    <n v="67.8"/>
    <m/>
    <m/>
    <m/>
    <n v="150"/>
    <m/>
  </r>
  <r>
    <x v="147"/>
    <x v="4"/>
    <s v="High income"/>
    <s v="Yaren District"/>
    <s v="-0.5477"/>
    <s v="166.920867"/>
    <m/>
    <x v="0"/>
    <x v="0"/>
    <x v="0"/>
    <m/>
    <m/>
    <m/>
    <m/>
    <m/>
    <m/>
    <m/>
    <m/>
    <m/>
  </r>
  <r>
    <x v="148"/>
    <x v="4"/>
    <s v="High income"/>
    <s v="Wellington"/>
    <s v="-41.2865"/>
    <s v="174.776"/>
    <s v="NZL"/>
    <x v="1"/>
    <x v="126"/>
    <x v="34"/>
    <n v="29.8"/>
    <n v="62.8"/>
    <n v="65.3"/>
    <n v="88.5"/>
    <m/>
    <m/>
    <m/>
    <m/>
    <m/>
  </r>
  <r>
    <x v="149"/>
    <x v="1"/>
    <s v="High income"/>
    <s v="Muscat"/>
    <s v="23.6105"/>
    <s v="58.5874"/>
    <s v="OMN"/>
    <x v="1"/>
    <x v="127"/>
    <x v="15"/>
    <n v="25.2"/>
    <n v="61.2"/>
    <n v="62.8"/>
    <n v="85.6"/>
    <m/>
    <m/>
    <m/>
    <n v="550"/>
    <m/>
  </r>
  <r>
    <x v="150"/>
    <x v="1"/>
    <s v="Lower middle income"/>
    <s v="Islamabad"/>
    <s v="30.5167"/>
    <s v="72.8"/>
    <s v="PAK"/>
    <x v="1"/>
    <x v="128"/>
    <x v="35"/>
    <n v="10.8"/>
    <n v="41.8"/>
    <n v="41.9"/>
    <n v="55.8"/>
    <n v="1.18"/>
    <n v="1.52"/>
    <n v="20.8"/>
    <n v="120"/>
    <n v="30"/>
  </r>
  <r>
    <x v="151"/>
    <x v="0"/>
    <s v="High income"/>
    <s v="Panama City"/>
    <s v="8.99427"/>
    <s v="-79.5188"/>
    <s v="PAN"/>
    <x v="1"/>
    <x v="129"/>
    <x v="0"/>
    <m/>
    <m/>
    <m/>
    <m/>
    <m/>
    <m/>
    <m/>
    <m/>
    <m/>
  </r>
  <r>
    <x v="152"/>
    <x v="0"/>
    <s v="Upper middle income"/>
    <s v="Lima"/>
    <s v="-12.0931"/>
    <s v="-77.0465"/>
    <s v="PER"/>
    <x v="1"/>
    <x v="130"/>
    <x v="0"/>
    <m/>
    <m/>
    <m/>
    <m/>
    <m/>
    <m/>
    <m/>
    <m/>
    <m/>
  </r>
  <r>
    <x v="153"/>
    <x v="4"/>
    <s v="Upper middle income"/>
    <s v="Manila"/>
    <s v="14.5515"/>
    <s v="121.035"/>
    <s v="PHL"/>
    <x v="1"/>
    <x v="131"/>
    <x v="36"/>
    <n v="12.2"/>
    <n v="44.2"/>
    <n v="44.5"/>
    <n v="59.2"/>
    <n v="1.38"/>
    <n v="1.92"/>
    <n v="28.5"/>
    <n v="280"/>
    <n v="48"/>
  </r>
  <r>
    <x v="154"/>
    <x v="4"/>
    <s v="High income"/>
    <s v="Koror"/>
    <s v="7.34194"/>
    <s v="134.479"/>
    <s v="PLW"/>
    <x v="1"/>
    <x v="132"/>
    <x v="0"/>
    <m/>
    <m/>
    <m/>
    <m/>
    <m/>
    <m/>
    <m/>
    <m/>
    <m/>
  </r>
  <r>
    <x v="155"/>
    <x v="4"/>
    <s v="Lower middle income"/>
    <s v="Port Moresby"/>
    <s v="-9.47357"/>
    <s v="147.194"/>
    <s v="PNG"/>
    <x v="1"/>
    <x v="133"/>
    <x v="0"/>
    <m/>
    <m/>
    <m/>
    <m/>
    <m/>
    <m/>
    <m/>
    <m/>
    <m/>
  </r>
  <r>
    <x v="156"/>
    <x v="3"/>
    <s v="High income"/>
    <s v="Warsaw"/>
    <s v="52.26"/>
    <s v="21.02"/>
    <s v="POL"/>
    <x v="1"/>
    <x v="134"/>
    <x v="37"/>
    <n v="18.600000000000001"/>
    <n v="52.4"/>
    <n v="53.8"/>
    <n v="74.2"/>
    <n v="2.25"/>
    <n v="3.45"/>
    <n v="72.5"/>
    <n v="450"/>
    <n v="85"/>
  </r>
  <r>
    <x v="157"/>
    <x v="0"/>
    <s v="High income"/>
    <s v="San Juan"/>
    <s v="18.23"/>
    <s v="-66"/>
    <m/>
    <x v="0"/>
    <x v="0"/>
    <x v="0"/>
    <m/>
    <m/>
    <m/>
    <m/>
    <m/>
    <m/>
    <m/>
    <m/>
    <m/>
  </r>
  <r>
    <x v="158"/>
    <x v="4"/>
    <s v="Low income"/>
    <s v="Pyongyang"/>
    <s v="39.0319"/>
    <s v="125.754"/>
    <m/>
    <x v="0"/>
    <x v="0"/>
    <x v="0"/>
    <m/>
    <m/>
    <m/>
    <m/>
    <m/>
    <m/>
    <m/>
    <m/>
    <m/>
  </r>
  <r>
    <x v="159"/>
    <x v="3"/>
    <s v="High income"/>
    <s v="Lisbon"/>
    <s v="38.7072"/>
    <s v="-9.13552"/>
    <s v="PRT"/>
    <x v="1"/>
    <x v="135"/>
    <x v="38"/>
    <n v="20.5"/>
    <n v="54.7"/>
    <n v="56.2"/>
    <n v="78.900000000000006"/>
    <n v="2.4500000000000002"/>
    <n v="3.85"/>
    <n v="85.4"/>
    <n v="420"/>
    <n v="80"/>
  </r>
  <r>
    <x v="160"/>
    <x v="0"/>
    <s v="Upper middle income"/>
    <s v="Asuncion"/>
    <s v="-25.3005"/>
    <s v="-57.6362"/>
    <s v="PRY"/>
    <x v="1"/>
    <x v="136"/>
    <x v="0"/>
    <m/>
    <m/>
    <m/>
    <m/>
    <m/>
    <m/>
    <m/>
    <m/>
    <m/>
  </r>
  <r>
    <x v="161"/>
    <x v="1"/>
    <s v="Lower middle income"/>
    <m/>
    <m/>
    <m/>
    <s v="PSE"/>
    <x v="1"/>
    <x v="137"/>
    <x v="0"/>
    <m/>
    <m/>
    <m/>
    <m/>
    <m/>
    <m/>
    <m/>
    <m/>
    <m/>
  </r>
  <r>
    <x v="162"/>
    <x v="4"/>
    <s v="High income"/>
    <s v="Papeete"/>
    <s v="-17.535"/>
    <s v="-149.57"/>
    <m/>
    <x v="0"/>
    <x v="0"/>
    <x v="0"/>
    <m/>
    <m/>
    <m/>
    <m/>
    <m/>
    <m/>
    <m/>
    <m/>
    <m/>
  </r>
  <r>
    <x v="163"/>
    <x v="1"/>
    <s v="High income"/>
    <s v="Doha"/>
    <s v="25.2948"/>
    <s v="51.5082"/>
    <s v="QAT"/>
    <x v="1"/>
    <x v="138"/>
    <x v="39"/>
    <n v="31.5"/>
    <n v="66.2"/>
    <n v="68.5"/>
    <n v="92.8"/>
    <m/>
    <m/>
    <m/>
    <n v="900"/>
    <m/>
  </r>
  <r>
    <x v="164"/>
    <x v="3"/>
    <s v="High income"/>
    <s v="Bucharest"/>
    <s v="44.4479"/>
    <s v="26.0979"/>
    <s v="ROU"/>
    <x v="1"/>
    <x v="139"/>
    <x v="0"/>
    <m/>
    <m/>
    <m/>
    <m/>
    <m/>
    <m/>
    <m/>
    <m/>
    <m/>
  </r>
  <r>
    <x v="165"/>
    <x v="3"/>
    <s v="High income"/>
    <s v="Moscow"/>
    <s v="55.7558"/>
    <s v="37.6176"/>
    <s v="RUS"/>
    <x v="1"/>
    <x v="140"/>
    <x v="0"/>
    <m/>
    <m/>
    <m/>
    <m/>
    <m/>
    <m/>
    <m/>
    <m/>
    <m/>
  </r>
  <r>
    <x v="166"/>
    <x v="2"/>
    <s v="Low income"/>
    <s v="Kigali"/>
    <s v="-1.95325"/>
    <s v="30.0587"/>
    <s v="RWA"/>
    <x v="1"/>
    <x v="141"/>
    <x v="0"/>
    <m/>
    <m/>
    <m/>
    <m/>
    <m/>
    <m/>
    <m/>
    <m/>
    <m/>
  </r>
  <r>
    <x v="167"/>
    <x v="1"/>
    <s v="High income"/>
    <s v="Riyadh"/>
    <s v="24.6748"/>
    <s v="46.6977"/>
    <s v="SAU"/>
    <x v="1"/>
    <x v="142"/>
    <x v="40"/>
    <n v="28.4"/>
    <n v="64.2"/>
    <n v="66.099999999999994"/>
    <n v="89.4"/>
    <m/>
    <m/>
    <m/>
    <n v="750"/>
    <m/>
  </r>
  <r>
    <x v="168"/>
    <x v="2"/>
    <s v="Low income"/>
    <s v="Khartoum"/>
    <s v="15.5932"/>
    <s v="32.5363"/>
    <s v="SDN"/>
    <x v="3"/>
    <x v="143"/>
    <x v="0"/>
    <m/>
    <m/>
    <m/>
    <m/>
    <m/>
    <m/>
    <m/>
    <m/>
    <m/>
  </r>
  <r>
    <x v="169"/>
    <x v="2"/>
    <s v="Lower middle income"/>
    <s v="Dakar"/>
    <s v="14.7247"/>
    <s v="-17.4734"/>
    <s v="SEN"/>
    <x v="1"/>
    <x v="144"/>
    <x v="0"/>
    <m/>
    <m/>
    <m/>
    <m/>
    <m/>
    <m/>
    <m/>
    <m/>
    <m/>
  </r>
  <r>
    <x v="170"/>
    <x v="4"/>
    <s v="High income"/>
    <s v="Singapore"/>
    <s v="1.28941"/>
    <s v="103.85"/>
    <s v="SGP"/>
    <x v="1"/>
    <x v="145"/>
    <x v="41"/>
    <n v="55.3"/>
    <n v="70.099999999999994"/>
    <n v="72.8"/>
    <n v="95.2"/>
    <n v="3.05"/>
    <m/>
    <m/>
    <n v="3167"/>
    <n v="180"/>
  </r>
  <r>
    <x v="171"/>
    <x v="4"/>
    <s v="Lower middle income"/>
    <s v="Honiara"/>
    <s v="-9.42676"/>
    <s v="159.949"/>
    <s v="SLB"/>
    <x v="1"/>
    <x v="146"/>
    <x v="0"/>
    <m/>
    <m/>
    <m/>
    <m/>
    <m/>
    <m/>
    <m/>
    <m/>
    <m/>
  </r>
  <r>
    <x v="172"/>
    <x v="2"/>
    <s v="Low income"/>
    <s v="Freetown"/>
    <s v="8.4821"/>
    <s v="-13.2134"/>
    <s v="SLE"/>
    <x v="1"/>
    <x v="147"/>
    <x v="0"/>
    <m/>
    <m/>
    <m/>
    <m/>
    <m/>
    <m/>
    <m/>
    <m/>
    <m/>
  </r>
  <r>
    <x v="173"/>
    <x v="0"/>
    <s v="Upper middle income"/>
    <s v="San Salvador"/>
    <s v="13.7034"/>
    <s v="-89.2073"/>
    <s v="SLV"/>
    <x v="1"/>
    <x v="148"/>
    <x v="0"/>
    <m/>
    <m/>
    <m/>
    <m/>
    <m/>
    <m/>
    <m/>
    <m/>
    <m/>
  </r>
  <r>
    <x v="174"/>
    <x v="3"/>
    <s v="High income"/>
    <s v="San Marino"/>
    <s v="43.9322"/>
    <s v="12.4486"/>
    <s v="SMR"/>
    <x v="1"/>
    <x v="149"/>
    <x v="0"/>
    <m/>
    <m/>
    <m/>
    <m/>
    <m/>
    <m/>
    <m/>
    <m/>
    <m/>
  </r>
  <r>
    <x v="175"/>
    <x v="2"/>
    <s v="Low income"/>
    <s v="Mogadishu"/>
    <s v="2.07515"/>
    <s v="45.3254"/>
    <m/>
    <x v="0"/>
    <x v="0"/>
    <x v="0"/>
    <m/>
    <m/>
    <m/>
    <m/>
    <m/>
    <m/>
    <m/>
    <m/>
    <m/>
  </r>
  <r>
    <x v="176"/>
    <x v="3"/>
    <s v="Upper middle income"/>
    <s v="Belgrade"/>
    <s v="44.8024"/>
    <s v="20.4656"/>
    <s v="SRB"/>
    <x v="1"/>
    <x v="150"/>
    <x v="0"/>
    <m/>
    <m/>
    <m/>
    <m/>
    <m/>
    <m/>
    <m/>
    <m/>
    <m/>
  </r>
  <r>
    <x v="177"/>
    <x v="2"/>
    <s v="Low income"/>
    <s v="Juba"/>
    <s v="4.85"/>
    <s v="31.6"/>
    <s v="SSD"/>
    <x v="1"/>
    <x v="151"/>
    <x v="0"/>
    <m/>
    <m/>
    <m/>
    <m/>
    <m/>
    <m/>
    <m/>
    <m/>
    <m/>
  </r>
  <r>
    <x v="178"/>
    <x v="2"/>
    <s v="Lower middle income"/>
    <s v="Sao Tome"/>
    <s v="0.20618"/>
    <s v="6.6071"/>
    <s v="STP"/>
    <x v="1"/>
    <x v="152"/>
    <x v="0"/>
    <m/>
    <m/>
    <m/>
    <m/>
    <m/>
    <m/>
    <m/>
    <m/>
    <m/>
  </r>
  <r>
    <x v="179"/>
    <x v="0"/>
    <s v="Upper middle income"/>
    <s v="Paramaribo"/>
    <s v="5.8232"/>
    <s v="-55.1679"/>
    <s v="SUR"/>
    <x v="1"/>
    <x v="153"/>
    <x v="0"/>
    <m/>
    <m/>
    <m/>
    <m/>
    <m/>
    <m/>
    <m/>
    <m/>
    <m/>
  </r>
  <r>
    <x v="180"/>
    <x v="3"/>
    <s v="High income"/>
    <s v="Bratislava"/>
    <s v="48.1484"/>
    <s v="17.1073"/>
    <s v="SVK"/>
    <x v="1"/>
    <x v="154"/>
    <x v="0"/>
    <m/>
    <m/>
    <m/>
    <m/>
    <m/>
    <m/>
    <m/>
    <m/>
    <m/>
  </r>
  <r>
    <x v="181"/>
    <x v="3"/>
    <s v="High income"/>
    <s v="Ljubljana"/>
    <s v="46.0546"/>
    <s v="14.5044"/>
    <s v="SVN"/>
    <x v="1"/>
    <x v="155"/>
    <x v="0"/>
    <m/>
    <m/>
    <m/>
    <m/>
    <m/>
    <m/>
    <m/>
    <m/>
    <m/>
  </r>
  <r>
    <x v="182"/>
    <x v="3"/>
    <s v="High income"/>
    <s v="Stockholm"/>
    <s v="59.3327"/>
    <s v="18.0645"/>
    <s v="SWE"/>
    <x v="1"/>
    <x v="156"/>
    <x v="0"/>
    <m/>
    <m/>
    <m/>
    <m/>
    <m/>
    <n v="5.28"/>
    <n v="122.4"/>
    <m/>
    <m/>
  </r>
  <r>
    <x v="183"/>
    <x v="2"/>
    <s v="Lower middle income"/>
    <s v="Mbabane"/>
    <s v="-26.5225"/>
    <s v="31.4659"/>
    <m/>
    <x v="0"/>
    <x v="0"/>
    <x v="0"/>
    <m/>
    <m/>
    <m/>
    <m/>
    <m/>
    <m/>
    <m/>
    <m/>
    <m/>
  </r>
  <r>
    <x v="184"/>
    <x v="0"/>
    <s v="High income"/>
    <s v="Philipsburg"/>
    <m/>
    <m/>
    <m/>
    <x v="0"/>
    <x v="0"/>
    <x v="0"/>
    <m/>
    <m/>
    <m/>
    <m/>
    <m/>
    <m/>
    <m/>
    <m/>
    <m/>
  </r>
  <r>
    <x v="185"/>
    <x v="2"/>
    <s v="High income"/>
    <s v="Victoria"/>
    <s v="-4.6309"/>
    <s v="55.4466"/>
    <s v="SYC"/>
    <x v="1"/>
    <x v="157"/>
    <x v="0"/>
    <m/>
    <m/>
    <m/>
    <m/>
    <m/>
    <m/>
    <m/>
    <m/>
    <m/>
  </r>
  <r>
    <x v="186"/>
    <x v="1"/>
    <s v="Low income"/>
    <s v="Damascus"/>
    <s v="33.5146"/>
    <s v="36.3119"/>
    <m/>
    <x v="0"/>
    <x v="0"/>
    <x v="0"/>
    <m/>
    <m/>
    <m/>
    <m/>
    <m/>
    <m/>
    <m/>
    <m/>
    <m/>
  </r>
  <r>
    <x v="187"/>
    <x v="0"/>
    <s v="High income"/>
    <s v="Grand Turk"/>
    <s v="21.4602778"/>
    <s v="-71.141389"/>
    <m/>
    <x v="0"/>
    <x v="0"/>
    <x v="0"/>
    <m/>
    <m/>
    <m/>
    <m/>
    <m/>
    <m/>
    <m/>
    <m/>
    <m/>
  </r>
  <r>
    <x v="188"/>
    <x v="2"/>
    <s v="Low income"/>
    <s v="N'Djamena"/>
    <s v="12.1048"/>
    <s v="15.0445"/>
    <s v="TCD"/>
    <x v="1"/>
    <x v="158"/>
    <x v="0"/>
    <m/>
    <m/>
    <m/>
    <m/>
    <n v="0.36"/>
    <m/>
    <m/>
    <m/>
    <m/>
  </r>
  <r>
    <x v="189"/>
    <x v="2"/>
    <s v="Lower middle income"/>
    <s v="Lome"/>
    <s v="6.1228"/>
    <s v="1.2255"/>
    <s v="TGO"/>
    <x v="1"/>
    <x v="159"/>
    <x v="0"/>
    <m/>
    <m/>
    <m/>
    <m/>
    <m/>
    <m/>
    <m/>
    <m/>
    <m/>
  </r>
  <r>
    <x v="190"/>
    <x v="4"/>
    <s v="Upper middle income"/>
    <s v="Bangkok"/>
    <s v="13.7308"/>
    <s v="100.521"/>
    <s v="THA"/>
    <x v="1"/>
    <x v="160"/>
    <x v="42"/>
    <n v="18.2"/>
    <n v="52.4"/>
    <n v="53.2"/>
    <n v="72.8"/>
    <m/>
    <m/>
    <m/>
    <n v="350"/>
    <m/>
  </r>
  <r>
    <x v="191"/>
    <x v="3"/>
    <s v="Lower middle income"/>
    <s v="Dushanbe"/>
    <s v="38.5878"/>
    <s v="68.7864"/>
    <m/>
    <x v="0"/>
    <x v="0"/>
    <x v="0"/>
    <m/>
    <m/>
    <m/>
    <m/>
    <m/>
    <m/>
    <m/>
    <m/>
    <m/>
  </r>
  <r>
    <x v="192"/>
    <x v="3"/>
    <s v="Upper middle income"/>
    <s v="Ashgabat"/>
    <s v="37.9509"/>
    <s v="58.3794"/>
    <m/>
    <x v="0"/>
    <x v="0"/>
    <x v="0"/>
    <m/>
    <m/>
    <m/>
    <m/>
    <m/>
    <m/>
    <m/>
    <m/>
    <m/>
  </r>
  <r>
    <x v="193"/>
    <x v="4"/>
    <s v="Lower middle income"/>
    <s v="Dili"/>
    <s v="-8.56667"/>
    <s v="125.567"/>
    <s v="TLS"/>
    <x v="1"/>
    <x v="161"/>
    <x v="0"/>
    <m/>
    <m/>
    <m/>
    <m/>
    <m/>
    <m/>
    <m/>
    <m/>
    <m/>
  </r>
  <r>
    <x v="194"/>
    <x v="4"/>
    <s v="Upper middle income"/>
    <s v="Nuku'alofa"/>
    <s v="-21.136"/>
    <s v="-175.216"/>
    <s v="TON"/>
    <x v="1"/>
    <x v="162"/>
    <x v="0"/>
    <m/>
    <m/>
    <m/>
    <m/>
    <m/>
    <m/>
    <m/>
    <m/>
    <m/>
  </r>
  <r>
    <x v="195"/>
    <x v="0"/>
    <s v="High income"/>
    <s v="Port-of-Spain"/>
    <s v="10.6596"/>
    <s v="-61.4789"/>
    <s v="TTO"/>
    <x v="1"/>
    <x v="163"/>
    <x v="0"/>
    <m/>
    <m/>
    <m/>
    <m/>
    <m/>
    <m/>
    <m/>
    <m/>
    <m/>
  </r>
  <r>
    <x v="196"/>
    <x v="1"/>
    <s v="Lower middle income"/>
    <s v="Tunis"/>
    <s v="36.7899"/>
    <s v="10.21"/>
    <s v="TUN"/>
    <x v="1"/>
    <x v="164"/>
    <x v="0"/>
    <m/>
    <m/>
    <m/>
    <m/>
    <m/>
    <m/>
    <m/>
    <m/>
    <m/>
  </r>
  <r>
    <x v="197"/>
    <x v="3"/>
    <s v="Upper middle income"/>
    <s v="Ankara"/>
    <s v="39.7153"/>
    <s v="32.3606"/>
    <s v="TUR"/>
    <x v="1"/>
    <x v="165"/>
    <x v="0"/>
    <m/>
    <m/>
    <m/>
    <m/>
    <m/>
    <m/>
    <m/>
    <m/>
    <m/>
  </r>
  <r>
    <x v="198"/>
    <x v="4"/>
    <s v="Upper middle income"/>
    <s v="Funafuti"/>
    <s v="-8.6314877"/>
    <s v="179.089567"/>
    <m/>
    <x v="0"/>
    <x v="0"/>
    <x v="0"/>
    <m/>
    <m/>
    <m/>
    <m/>
    <m/>
    <m/>
    <m/>
    <m/>
    <m/>
  </r>
  <r>
    <x v="199"/>
    <x v="2"/>
    <s v="Lower middle income"/>
    <s v="Dodoma"/>
    <s v="-6.17486"/>
    <s v="35.7382"/>
    <s v="TZA"/>
    <x v="1"/>
    <x v="166"/>
    <x v="0"/>
    <m/>
    <m/>
    <m/>
    <m/>
    <m/>
    <m/>
    <m/>
    <m/>
    <m/>
  </r>
  <r>
    <x v="200"/>
    <x v="2"/>
    <s v="Low income"/>
    <s v="Kampala"/>
    <s v="0.314269"/>
    <s v="32.5729"/>
    <s v="UGA"/>
    <x v="1"/>
    <x v="167"/>
    <x v="0"/>
    <m/>
    <m/>
    <m/>
    <m/>
    <m/>
    <m/>
    <m/>
    <m/>
    <m/>
  </r>
  <r>
    <x v="201"/>
    <x v="3"/>
    <s v="Upper middle income"/>
    <s v="Kiev"/>
    <s v="50.4536"/>
    <s v="30.5038"/>
    <s v="UKR"/>
    <x v="1"/>
    <x v="168"/>
    <x v="0"/>
    <m/>
    <m/>
    <m/>
    <m/>
    <m/>
    <m/>
    <m/>
    <m/>
    <m/>
  </r>
  <r>
    <x v="202"/>
    <x v="0"/>
    <s v="High income"/>
    <s v="Montevideo"/>
    <s v="-34.8941"/>
    <s v="-56.0675"/>
    <s v="URY"/>
    <x v="1"/>
    <x v="169"/>
    <x v="0"/>
    <m/>
    <m/>
    <m/>
    <m/>
    <m/>
    <m/>
    <m/>
    <m/>
    <m/>
  </r>
  <r>
    <x v="203"/>
    <x v="6"/>
    <s v="High income"/>
    <s v="Washington D.C."/>
    <s v="38.8895"/>
    <s v="-77.032"/>
    <s v="USA"/>
    <x v="1"/>
    <x v="170"/>
    <x v="43"/>
    <n v="35.200000000000003"/>
    <n v="68.5"/>
    <n v="70.2"/>
    <n v="100"/>
    <n v="3.65"/>
    <m/>
    <m/>
    <n v="1603"/>
    <n v="150"/>
  </r>
  <r>
    <x v="204"/>
    <x v="3"/>
    <s v="Lower middle income"/>
    <s v="Tashkent"/>
    <s v="41.3052"/>
    <s v="69.269"/>
    <s v="UZB"/>
    <x v="1"/>
    <x v="171"/>
    <x v="0"/>
    <m/>
    <m/>
    <m/>
    <m/>
    <n v="0.4"/>
    <m/>
    <m/>
    <m/>
    <m/>
  </r>
  <r>
    <x v="205"/>
    <x v="0"/>
    <s v="Upper middle income"/>
    <s v="Kingstown"/>
    <s v="13.2035"/>
    <s v="-61.2653"/>
    <s v="VCT"/>
    <x v="1"/>
    <x v="172"/>
    <x v="0"/>
    <m/>
    <m/>
    <m/>
    <m/>
    <m/>
    <m/>
    <m/>
    <m/>
    <m/>
  </r>
  <r>
    <x v="206"/>
    <x v="0"/>
    <s v="Lower middle income"/>
    <s v="Caracas"/>
    <s v="9.08165"/>
    <s v="-69.8371"/>
    <m/>
    <x v="0"/>
    <x v="0"/>
    <x v="0"/>
    <m/>
    <m/>
    <m/>
    <m/>
    <m/>
    <m/>
    <m/>
    <m/>
    <m/>
  </r>
  <r>
    <x v="207"/>
    <x v="0"/>
    <s v="High income"/>
    <s v="Road Town"/>
    <s v="18.431389"/>
    <s v="-64.623056"/>
    <m/>
    <x v="0"/>
    <x v="0"/>
    <x v="0"/>
    <m/>
    <m/>
    <m/>
    <m/>
    <m/>
    <m/>
    <m/>
    <m/>
    <m/>
  </r>
  <r>
    <x v="208"/>
    <x v="0"/>
    <s v="High income"/>
    <s v="Charlotte Amalie"/>
    <s v="18.3358"/>
    <s v="-64.8963"/>
    <m/>
    <x v="0"/>
    <x v="0"/>
    <x v="0"/>
    <m/>
    <m/>
    <m/>
    <m/>
    <m/>
    <m/>
    <m/>
    <m/>
    <m/>
  </r>
  <r>
    <x v="209"/>
    <x v="4"/>
    <s v="Upper middle income"/>
    <s v="Hanoi"/>
    <s v="21.0069"/>
    <s v="105.825"/>
    <s v="VNM"/>
    <x v="1"/>
    <x v="173"/>
    <x v="0"/>
    <m/>
    <m/>
    <m/>
    <m/>
    <m/>
    <m/>
    <m/>
    <m/>
    <m/>
  </r>
  <r>
    <x v="210"/>
    <x v="4"/>
    <s v="Lower middle income"/>
    <s v="Port-Vila"/>
    <s v="-17.7404"/>
    <s v="168.321"/>
    <s v="VUT"/>
    <x v="1"/>
    <x v="174"/>
    <x v="0"/>
    <m/>
    <m/>
    <m/>
    <m/>
    <m/>
    <m/>
    <m/>
    <m/>
    <m/>
  </r>
  <r>
    <x v="211"/>
    <x v="4"/>
    <s v="Upper middle income"/>
    <s v="Apia"/>
    <s v="-13.8314"/>
    <s v="-171.752"/>
    <s v="WSM"/>
    <x v="1"/>
    <x v="175"/>
    <x v="0"/>
    <m/>
    <m/>
    <m/>
    <m/>
    <m/>
    <m/>
    <m/>
    <m/>
    <m/>
  </r>
  <r>
    <x v="212"/>
    <x v="3"/>
    <s v="Upper middle income"/>
    <s v="Pristina"/>
    <s v="42.565"/>
    <s v="20.926"/>
    <s v="XKX"/>
    <x v="1"/>
    <x v="176"/>
    <x v="0"/>
    <m/>
    <m/>
    <m/>
    <m/>
    <m/>
    <m/>
    <m/>
    <m/>
    <m/>
  </r>
  <r>
    <x v="213"/>
    <x v="1"/>
    <s v="Low income"/>
    <s v="Sana'a"/>
    <s v="15.352"/>
    <s v="44.2075"/>
    <m/>
    <x v="0"/>
    <x v="0"/>
    <x v="0"/>
    <m/>
    <m/>
    <m/>
    <m/>
    <m/>
    <m/>
    <m/>
    <m/>
    <m/>
  </r>
  <r>
    <x v="214"/>
    <x v="2"/>
    <s v="Upper middle income"/>
    <s v="Pretoria"/>
    <s v="-25.746"/>
    <s v="28.1871"/>
    <s v="ZAF"/>
    <x v="1"/>
    <x v="177"/>
    <x v="24"/>
    <n v="15.2"/>
    <n v="48.5"/>
    <n v="49.3"/>
    <n v="65.8"/>
    <n v="1.78"/>
    <n v="2.68"/>
    <n v="48.5"/>
    <n v="320"/>
    <n v="60"/>
  </r>
  <r>
    <x v="215"/>
    <x v="2"/>
    <s v="Lower middle income"/>
    <s v="Lusaka"/>
    <s v="-15.3982"/>
    <s v="28.2937"/>
    <s v="ZMB"/>
    <x v="1"/>
    <x v="178"/>
    <x v="0"/>
    <m/>
    <m/>
    <m/>
    <m/>
    <m/>
    <m/>
    <m/>
    <m/>
    <m/>
  </r>
  <r>
    <x v="216"/>
    <x v="2"/>
    <s v="Lower middle income"/>
    <s v="Harare"/>
    <s v="-17.8312"/>
    <s v="31.0672"/>
    <s v="ZWE"/>
    <x v="3"/>
    <x v="179"/>
    <x v="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CB4A69-CD51-4BFB-B793-F02F17615B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7:B78" firstHeaderRow="1" firstDataRow="1" firstDataCol="1"/>
  <pivotFields count="19">
    <pivotField axis="axisRow" showAll="0" measureFilter="1">
      <items count="218">
        <item x="1"/>
        <item x="3"/>
        <item x="55"/>
        <item x="8"/>
        <item x="4"/>
        <item x="2"/>
        <item x="9"/>
        <item x="6"/>
        <item x="7"/>
        <item x="0"/>
        <item x="10"/>
        <item x="11"/>
        <item x="12"/>
        <item x="20"/>
        <item x="19"/>
        <item x="17"/>
        <item x="27"/>
        <item x="22"/>
        <item x="14"/>
        <item x="23"/>
        <item x="15"/>
        <item x="24"/>
        <item x="29"/>
        <item x="25"/>
        <item x="21"/>
        <item x="30"/>
        <item x="26"/>
        <item x="207"/>
        <item x="28"/>
        <item x="18"/>
        <item x="16"/>
        <item x="13"/>
        <item x="43"/>
        <item x="102"/>
        <item x="38"/>
        <item x="32"/>
        <item x="47"/>
        <item x="31"/>
        <item x="188"/>
        <item x="34"/>
        <item x="35"/>
        <item x="36"/>
        <item x="41"/>
        <item x="42"/>
        <item x="39"/>
        <item x="40"/>
        <item x="44"/>
        <item x="37"/>
        <item x="84"/>
        <item x="45"/>
        <item x="46"/>
        <item x="48"/>
        <item x="49"/>
        <item x="53"/>
        <item x="51"/>
        <item x="52"/>
        <item x="54"/>
        <item x="56"/>
        <item x="57"/>
        <item x="173"/>
        <item x="75"/>
        <item x="58"/>
        <item x="60"/>
        <item x="183"/>
        <item x="61"/>
        <item x="65"/>
        <item x="63"/>
        <item x="62"/>
        <item x="64"/>
        <item x="162"/>
        <item x="67"/>
        <item x="73"/>
        <item x="69"/>
        <item x="50"/>
        <item x="70"/>
        <item x="71"/>
        <item x="76"/>
        <item x="78"/>
        <item x="77"/>
        <item x="80"/>
        <item x="79"/>
        <item x="72"/>
        <item x="74"/>
        <item x="81"/>
        <item x="85"/>
        <item x="83"/>
        <item x="82"/>
        <item x="86"/>
        <item x="93"/>
        <item x="89"/>
        <item x="87"/>
        <item x="91"/>
        <item x="92"/>
        <item x="90"/>
        <item x="88"/>
        <item x="94"/>
        <item x="95"/>
        <item x="96"/>
        <item x="98"/>
        <item x="97"/>
        <item x="99"/>
        <item x="100"/>
        <item x="103"/>
        <item x="158"/>
        <item x="105"/>
        <item x="212"/>
        <item x="106"/>
        <item x="101"/>
        <item x="107"/>
        <item x="117"/>
        <item x="108"/>
        <item x="114"/>
        <item x="109"/>
        <item x="110"/>
        <item x="112"/>
        <item x="115"/>
        <item x="116"/>
        <item x="118"/>
        <item x="123"/>
        <item x="137"/>
        <item x="138"/>
        <item x="124"/>
        <item x="128"/>
        <item x="129"/>
        <item x="126"/>
        <item x="135"/>
        <item x="136"/>
        <item x="125"/>
        <item x="66"/>
        <item x="122"/>
        <item x="121"/>
        <item x="132"/>
        <item x="131"/>
        <item x="120"/>
        <item x="134"/>
        <item x="130"/>
        <item x="139"/>
        <item x="147"/>
        <item x="146"/>
        <item x="144"/>
        <item x="140"/>
        <item x="148"/>
        <item x="143"/>
        <item x="141"/>
        <item x="142"/>
        <item x="127"/>
        <item x="133"/>
        <item x="145"/>
        <item x="149"/>
        <item x="150"/>
        <item x="154"/>
        <item x="151"/>
        <item x="155"/>
        <item x="160"/>
        <item x="152"/>
        <item x="153"/>
        <item x="156"/>
        <item x="159"/>
        <item x="157"/>
        <item x="163"/>
        <item x="164"/>
        <item x="165"/>
        <item x="166"/>
        <item x="211"/>
        <item x="174"/>
        <item x="178"/>
        <item x="167"/>
        <item x="169"/>
        <item x="176"/>
        <item x="185"/>
        <item x="172"/>
        <item x="170"/>
        <item x="184"/>
        <item x="180"/>
        <item x="181"/>
        <item x="171"/>
        <item x="175"/>
        <item x="214"/>
        <item x="177"/>
        <item x="59"/>
        <item x="113"/>
        <item x="104"/>
        <item x="111"/>
        <item x="119"/>
        <item x="205"/>
        <item x="168"/>
        <item x="179"/>
        <item x="182"/>
        <item x="33"/>
        <item x="186"/>
        <item x="191"/>
        <item x="199"/>
        <item x="190"/>
        <item x="193"/>
        <item x="189"/>
        <item x="194"/>
        <item x="195"/>
        <item x="196"/>
        <item x="197"/>
        <item x="192"/>
        <item x="187"/>
        <item x="198"/>
        <item x="200"/>
        <item x="201"/>
        <item x="5"/>
        <item x="68"/>
        <item x="203"/>
        <item x="202"/>
        <item x="204"/>
        <item x="210"/>
        <item x="206"/>
        <item x="209"/>
        <item x="208"/>
        <item x="161"/>
        <item x="213"/>
        <item x="215"/>
        <item x="216"/>
        <item t="default"/>
      </items>
    </pivotField>
    <pivotField showAll="0">
      <items count="8">
        <item x="4"/>
        <item x="3"/>
        <item x="0"/>
        <item x="1"/>
        <item x="6"/>
        <item x="5"/>
        <item x="2"/>
        <item t="default"/>
      </items>
    </pivotField>
    <pivotField showAll="0"/>
    <pivotField showAll="0"/>
    <pivotField showAll="0"/>
    <pivotField showAll="0"/>
    <pivotField showAll="0"/>
    <pivotField showAll="0">
      <items count="5">
        <item x="3"/>
        <item x="2"/>
        <item x="1"/>
        <item h="1"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10"/>
    </i>
    <i>
      <x v="16"/>
    </i>
    <i>
      <x v="53"/>
    </i>
    <i>
      <x v="88"/>
    </i>
    <i>
      <x v="147"/>
    </i>
    <i>
      <x v="159"/>
    </i>
    <i>
      <x v="171"/>
    </i>
    <i>
      <x v="188"/>
    </i>
    <i>
      <x v="204"/>
    </i>
    <i>
      <x v="206"/>
    </i>
    <i t="grand">
      <x/>
    </i>
  </rowItems>
  <colItems count="1">
    <i/>
  </colItems>
  <dataFields count="1">
    <dataField name="Sum of Cost of Living "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DDFD5-56C3-4175-8F04-832F585E81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4:B8" firstHeaderRow="1" firstDataRow="1" firstDataCol="1"/>
  <pivotFields count="19">
    <pivotField showAll="0">
      <items count="218">
        <item x="1"/>
        <item x="3"/>
        <item x="55"/>
        <item x="8"/>
        <item x="4"/>
        <item x="2"/>
        <item x="9"/>
        <item x="6"/>
        <item x="7"/>
        <item x="0"/>
        <item x="10"/>
        <item x="11"/>
        <item x="12"/>
        <item x="20"/>
        <item x="19"/>
        <item x="17"/>
        <item x="27"/>
        <item x="22"/>
        <item x="14"/>
        <item x="23"/>
        <item x="15"/>
        <item x="24"/>
        <item x="29"/>
        <item x="25"/>
        <item x="21"/>
        <item x="30"/>
        <item x="26"/>
        <item x="207"/>
        <item x="28"/>
        <item x="18"/>
        <item x="16"/>
        <item x="13"/>
        <item x="43"/>
        <item x="102"/>
        <item x="38"/>
        <item x="32"/>
        <item x="47"/>
        <item x="31"/>
        <item x="188"/>
        <item x="34"/>
        <item x="35"/>
        <item x="36"/>
        <item x="41"/>
        <item x="42"/>
        <item x="39"/>
        <item x="40"/>
        <item x="44"/>
        <item x="37"/>
        <item x="84"/>
        <item x="45"/>
        <item x="46"/>
        <item x="48"/>
        <item x="49"/>
        <item x="53"/>
        <item x="51"/>
        <item x="52"/>
        <item x="54"/>
        <item x="56"/>
        <item x="57"/>
        <item x="173"/>
        <item x="75"/>
        <item x="58"/>
        <item x="60"/>
        <item x="183"/>
        <item x="61"/>
        <item x="65"/>
        <item x="63"/>
        <item x="62"/>
        <item x="64"/>
        <item x="162"/>
        <item x="67"/>
        <item x="73"/>
        <item x="69"/>
        <item x="50"/>
        <item x="70"/>
        <item x="71"/>
        <item x="76"/>
        <item x="78"/>
        <item x="77"/>
        <item x="80"/>
        <item x="79"/>
        <item x="72"/>
        <item x="74"/>
        <item x="81"/>
        <item x="85"/>
        <item x="83"/>
        <item x="82"/>
        <item x="86"/>
        <item x="93"/>
        <item x="89"/>
        <item x="87"/>
        <item x="91"/>
        <item x="92"/>
        <item x="90"/>
        <item x="88"/>
        <item x="94"/>
        <item x="95"/>
        <item x="96"/>
        <item x="98"/>
        <item x="97"/>
        <item x="99"/>
        <item x="100"/>
        <item x="103"/>
        <item x="158"/>
        <item x="105"/>
        <item x="212"/>
        <item x="106"/>
        <item x="101"/>
        <item x="107"/>
        <item x="117"/>
        <item x="108"/>
        <item x="114"/>
        <item x="109"/>
        <item x="110"/>
        <item x="112"/>
        <item x="115"/>
        <item x="116"/>
        <item x="118"/>
        <item x="123"/>
        <item x="137"/>
        <item x="138"/>
        <item x="124"/>
        <item x="128"/>
        <item x="129"/>
        <item x="126"/>
        <item x="135"/>
        <item x="136"/>
        <item x="125"/>
        <item x="66"/>
        <item x="122"/>
        <item x="121"/>
        <item x="132"/>
        <item x="131"/>
        <item x="120"/>
        <item x="134"/>
        <item x="130"/>
        <item x="139"/>
        <item x="147"/>
        <item x="146"/>
        <item x="144"/>
        <item x="140"/>
        <item x="148"/>
        <item x="143"/>
        <item x="141"/>
        <item x="142"/>
        <item x="127"/>
        <item x="133"/>
        <item x="145"/>
        <item x="149"/>
        <item x="150"/>
        <item x="154"/>
        <item x="151"/>
        <item x="155"/>
        <item x="160"/>
        <item x="152"/>
        <item x="153"/>
        <item x="156"/>
        <item x="159"/>
        <item x="157"/>
        <item x="163"/>
        <item x="164"/>
        <item x="165"/>
        <item x="166"/>
        <item x="211"/>
        <item x="174"/>
        <item x="178"/>
        <item x="167"/>
        <item x="169"/>
        <item x="176"/>
        <item x="185"/>
        <item x="172"/>
        <item x="170"/>
        <item x="184"/>
        <item x="180"/>
        <item x="181"/>
        <item x="171"/>
        <item x="175"/>
        <item x="214"/>
        <item x="177"/>
        <item x="59"/>
        <item x="113"/>
        <item x="104"/>
        <item x="111"/>
        <item x="119"/>
        <item x="205"/>
        <item x="168"/>
        <item x="179"/>
        <item x="182"/>
        <item x="33"/>
        <item x="186"/>
        <item x="191"/>
        <item x="199"/>
        <item x="190"/>
        <item x="193"/>
        <item x="189"/>
        <item x="194"/>
        <item x="195"/>
        <item x="196"/>
        <item x="197"/>
        <item x="192"/>
        <item x="187"/>
        <item x="198"/>
        <item x="200"/>
        <item x="201"/>
        <item x="5"/>
        <item x="68"/>
        <item x="203"/>
        <item x="202"/>
        <item x="204"/>
        <item x="210"/>
        <item x="206"/>
        <item x="209"/>
        <item x="208"/>
        <item x="161"/>
        <item x="213"/>
        <item x="215"/>
        <item x="216"/>
        <item t="default"/>
      </items>
    </pivotField>
    <pivotField showAll="0">
      <items count="8">
        <item x="4"/>
        <item x="3"/>
        <item x="0"/>
        <item x="1"/>
        <item x="6"/>
        <item x="5"/>
        <item x="2"/>
        <item t="default"/>
      </items>
    </pivotField>
    <pivotField showAll="0"/>
    <pivotField showAll="0"/>
    <pivotField showAll="0"/>
    <pivotField showAll="0"/>
    <pivotField showAll="0"/>
    <pivotField axis="axisRow" showAll="0">
      <items count="5">
        <item x="3"/>
        <item x="2"/>
        <item x="1"/>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Inflation Annual Pct" fld="8" subtotal="average"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C9DAE-D928-4503-9884-9F6DCCD944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56" firstHeaderRow="1" firstDataRow="1" firstDataCol="1"/>
  <pivotFields count="19">
    <pivotField axis="axisRow" showAll="0">
      <items count="218">
        <item x="1"/>
        <item h="1" x="3"/>
        <item h="1" x="55"/>
        <item h="1" x="8"/>
        <item h="1" x="4"/>
        <item h="1" x="2"/>
        <item h="1" x="9"/>
        <item h="1" x="6"/>
        <item x="7"/>
        <item h="1" x="0"/>
        <item h="1" x="10"/>
        <item h="1" x="11"/>
        <item h="1" x="12"/>
        <item x="20"/>
        <item h="1" x="19"/>
        <item h="1" x="17"/>
        <item h="1" x="27"/>
        <item h="1" x="22"/>
        <item h="1" x="14"/>
        <item h="1" x="23"/>
        <item h="1" x="15"/>
        <item h="1" x="24"/>
        <item h="1" x="29"/>
        <item h="1" x="25"/>
        <item h="1" x="21"/>
        <item h="1" x="30"/>
        <item h="1" x="26"/>
        <item h="1" x="207"/>
        <item x="28"/>
        <item h="1" x="18"/>
        <item h="1" x="16"/>
        <item h="1" x="13"/>
        <item h="1" x="43"/>
        <item h="1" x="102"/>
        <item h="1" x="38"/>
        <item h="1" x="32"/>
        <item h="1" x="47"/>
        <item h="1" x="31"/>
        <item h="1" x="188"/>
        <item h="1" x="34"/>
        <item h="1" x="35"/>
        <item x="36"/>
        <item h="1" x="41"/>
        <item h="1" x="42"/>
        <item h="1" x="39"/>
        <item h="1" x="40"/>
        <item x="44"/>
        <item h="1" x="37"/>
        <item h="1" x="84"/>
        <item h="1" x="45"/>
        <item h="1" x="46"/>
        <item h="1" x="48"/>
        <item h="1" x="49"/>
        <item h="1" x="53"/>
        <item h="1" x="51"/>
        <item h="1" x="52"/>
        <item h="1" x="54"/>
        <item h="1" x="56"/>
        <item h="1" x="57"/>
        <item h="1" x="173"/>
        <item h="1" x="75"/>
        <item h="1" x="58"/>
        <item h="1" x="60"/>
        <item h="1" x="183"/>
        <item h="1" x="61"/>
        <item h="1" x="65"/>
        <item h="1" x="63"/>
        <item h="1" x="62"/>
        <item h="1" x="64"/>
        <item h="1" x="162"/>
        <item h="1" x="67"/>
        <item h="1" x="73"/>
        <item h="1" x="69"/>
        <item h="1" x="50"/>
        <item h="1" x="70"/>
        <item h="1" x="71"/>
        <item h="1" x="76"/>
        <item h="1" x="78"/>
        <item h="1" x="77"/>
        <item h="1" x="80"/>
        <item h="1" x="79"/>
        <item h="1" x="72"/>
        <item h="1" x="74"/>
        <item h="1" x="81"/>
        <item h="1" x="85"/>
        <item h="1" x="83"/>
        <item h="1" x="82"/>
        <item h="1" x="86"/>
        <item h="1" x="93"/>
        <item h="1" x="89"/>
        <item h="1" x="87"/>
        <item h="1" x="91"/>
        <item h="1" x="92"/>
        <item h="1" x="90"/>
        <item h="1" x="88"/>
        <item h="1" x="94"/>
        <item h="1" x="95"/>
        <item h="1" x="96"/>
        <item h="1" x="98"/>
        <item h="1" x="97"/>
        <item h="1" x="99"/>
        <item h="1" x="100"/>
        <item h="1" x="103"/>
        <item h="1" x="158"/>
        <item h="1" x="105"/>
        <item h="1" x="212"/>
        <item h="1" x="106"/>
        <item h="1" x="101"/>
        <item h="1" x="107"/>
        <item h="1" x="117"/>
        <item h="1" x="108"/>
        <item h="1" x="114"/>
        <item h="1" x="109"/>
        <item h="1" x="110"/>
        <item h="1" x="112"/>
        <item h="1" x="115"/>
        <item h="1" x="116"/>
        <item h="1" x="118"/>
        <item h="1" x="123"/>
        <item h="1" x="137"/>
        <item h="1" x="138"/>
        <item h="1" x="124"/>
        <item h="1" x="128"/>
        <item h="1" x="129"/>
        <item h="1" x="126"/>
        <item h="1" x="135"/>
        <item h="1" x="136"/>
        <item h="1" x="125"/>
        <item h="1" x="66"/>
        <item h="1" x="122"/>
        <item h="1" x="121"/>
        <item h="1" x="132"/>
        <item h="1" x="131"/>
        <item h="1" x="120"/>
        <item h="1" x="134"/>
        <item h="1" x="130"/>
        <item h="1" x="139"/>
        <item h="1" x="147"/>
        <item h="1" x="146"/>
        <item h="1" x="144"/>
        <item h="1" x="140"/>
        <item h="1" x="148"/>
        <item h="1" x="143"/>
        <item h="1" x="141"/>
        <item h="1" x="142"/>
        <item h="1" x="127"/>
        <item h="1" x="133"/>
        <item h="1" x="145"/>
        <item h="1" x="149"/>
        <item h="1" x="150"/>
        <item h="1" x="154"/>
        <item h="1" x="151"/>
        <item h="1" x="155"/>
        <item h="1" x="160"/>
        <item h="1" x="152"/>
        <item h="1" x="153"/>
        <item h="1" x="156"/>
        <item h="1" x="159"/>
        <item h="1" x="157"/>
        <item h="1" x="163"/>
        <item h="1" x="164"/>
        <item h="1" x="165"/>
        <item h="1" x="166"/>
        <item h="1" x="211"/>
        <item h="1" x="174"/>
        <item h="1" x="178"/>
        <item h="1" x="167"/>
        <item h="1" x="169"/>
        <item h="1" x="176"/>
        <item x="185"/>
        <item h="1" x="172"/>
        <item h="1" x="170"/>
        <item h="1" x="184"/>
        <item h="1" x="180"/>
        <item h="1" x="181"/>
        <item h="1" x="171"/>
        <item h="1" x="175"/>
        <item h="1" x="214"/>
        <item h="1" x="177"/>
        <item h="1" x="59"/>
        <item x="113"/>
        <item h="1" x="104"/>
        <item x="111"/>
        <item h="1" x="119"/>
        <item h="1" x="205"/>
        <item h="1" x="168"/>
        <item h="1" x="179"/>
        <item h="1" x="182"/>
        <item h="1" x="33"/>
        <item h="1" x="186"/>
        <item h="1" x="191"/>
        <item h="1" x="199"/>
        <item x="190"/>
        <item h="1" x="193"/>
        <item h="1" x="189"/>
        <item h="1" x="194"/>
        <item h="1" x="195"/>
        <item h="1" x="196"/>
        <item h="1" x="197"/>
        <item h="1" x="192"/>
        <item h="1" x="187"/>
        <item h="1" x="198"/>
        <item h="1" x="200"/>
        <item h="1" x="201"/>
        <item h="1" x="5"/>
        <item h="1" x="68"/>
        <item h="1" x="203"/>
        <item h="1" x="202"/>
        <item h="1" x="204"/>
        <item h="1" x="210"/>
        <item h="1" x="206"/>
        <item h="1" x="209"/>
        <item h="1" x="208"/>
        <item h="1" x="161"/>
        <item h="1" x="213"/>
        <item h="1" x="215"/>
        <item h="1" x="216"/>
        <item t="default"/>
      </items>
    </pivotField>
    <pivotField showAll="0">
      <items count="8">
        <item x="4"/>
        <item x="3"/>
        <item x="0"/>
        <item x="1"/>
        <item x="6"/>
        <item x="5"/>
        <item x="2"/>
        <item t="default"/>
      </items>
    </pivotField>
    <pivotField showAll="0"/>
    <pivotField showAll="0"/>
    <pivotField showAll="0"/>
    <pivotField showAll="0"/>
    <pivotField showAll="0"/>
    <pivotField showAll="0">
      <items count="5">
        <item x="3"/>
        <item x="2"/>
        <item x="1"/>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1">
    <i>
      <x/>
    </i>
    <i>
      <x v="8"/>
    </i>
    <i>
      <x v="13"/>
    </i>
    <i>
      <x v="28"/>
    </i>
    <i>
      <x v="41"/>
    </i>
    <i>
      <x v="46"/>
    </i>
    <i>
      <x v="169"/>
    </i>
    <i>
      <x v="180"/>
    </i>
    <i>
      <x v="182"/>
    </i>
    <i>
      <x v="192"/>
    </i>
    <i t="grand">
      <x/>
    </i>
  </rowItems>
  <colItems count="1">
    <i/>
  </colItems>
  <dataFields count="1">
    <dataField name="Average of Inflation Annual Pct" fld="8" subtotal="average"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F22343-FA78-4247-94F8-688543B721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9:B40" firstHeaderRow="1" firstDataRow="1" firstDataCol="1" rowPageCount="1" colPageCount="1"/>
  <pivotFields count="19">
    <pivotField axis="axisRow" showAll="0" measureFilter="1">
      <items count="218">
        <item x="1"/>
        <item x="3"/>
        <item x="55"/>
        <item x="8"/>
        <item x="4"/>
        <item x="2"/>
        <item x="9"/>
        <item x="6"/>
        <item x="7"/>
        <item x="0"/>
        <item x="10"/>
        <item x="11"/>
        <item x="12"/>
        <item x="20"/>
        <item x="19"/>
        <item x="17"/>
        <item x="27"/>
        <item x="22"/>
        <item x="14"/>
        <item x="23"/>
        <item x="15"/>
        <item x="24"/>
        <item x="29"/>
        <item x="25"/>
        <item x="21"/>
        <item x="30"/>
        <item x="26"/>
        <item x="207"/>
        <item x="28"/>
        <item x="18"/>
        <item x="16"/>
        <item x="13"/>
        <item x="43"/>
        <item x="102"/>
        <item x="38"/>
        <item x="32"/>
        <item x="47"/>
        <item x="31"/>
        <item x="188"/>
        <item x="34"/>
        <item x="35"/>
        <item x="36"/>
        <item x="41"/>
        <item x="42"/>
        <item x="39"/>
        <item x="40"/>
        <item x="44"/>
        <item x="37"/>
        <item x="84"/>
        <item x="45"/>
        <item x="46"/>
        <item x="48"/>
        <item x="49"/>
        <item x="53"/>
        <item x="51"/>
        <item x="52"/>
        <item x="54"/>
        <item x="56"/>
        <item x="57"/>
        <item x="173"/>
        <item x="75"/>
        <item x="58"/>
        <item x="60"/>
        <item x="183"/>
        <item x="61"/>
        <item x="65"/>
        <item x="63"/>
        <item x="62"/>
        <item x="64"/>
        <item x="162"/>
        <item x="67"/>
        <item x="73"/>
        <item x="69"/>
        <item x="50"/>
        <item x="70"/>
        <item x="71"/>
        <item x="76"/>
        <item x="78"/>
        <item x="77"/>
        <item x="80"/>
        <item x="79"/>
        <item x="72"/>
        <item x="74"/>
        <item x="81"/>
        <item x="85"/>
        <item x="83"/>
        <item x="82"/>
        <item x="86"/>
        <item x="93"/>
        <item x="89"/>
        <item x="87"/>
        <item x="91"/>
        <item x="92"/>
        <item x="90"/>
        <item x="88"/>
        <item x="94"/>
        <item x="95"/>
        <item x="96"/>
        <item x="98"/>
        <item x="97"/>
        <item x="99"/>
        <item x="100"/>
        <item x="103"/>
        <item x="158"/>
        <item x="105"/>
        <item x="212"/>
        <item x="106"/>
        <item x="101"/>
        <item x="107"/>
        <item x="117"/>
        <item x="108"/>
        <item x="114"/>
        <item x="109"/>
        <item x="110"/>
        <item x="112"/>
        <item x="115"/>
        <item x="116"/>
        <item x="118"/>
        <item x="123"/>
        <item x="137"/>
        <item x="138"/>
        <item x="124"/>
        <item x="128"/>
        <item x="129"/>
        <item x="126"/>
        <item x="135"/>
        <item x="136"/>
        <item x="125"/>
        <item x="66"/>
        <item x="122"/>
        <item x="121"/>
        <item x="132"/>
        <item x="131"/>
        <item x="120"/>
        <item x="134"/>
        <item x="130"/>
        <item x="139"/>
        <item x="147"/>
        <item x="146"/>
        <item x="144"/>
        <item x="140"/>
        <item x="148"/>
        <item x="143"/>
        <item x="141"/>
        <item x="142"/>
        <item x="127"/>
        <item x="133"/>
        <item x="145"/>
        <item x="149"/>
        <item x="150"/>
        <item x="154"/>
        <item x="151"/>
        <item x="155"/>
        <item x="160"/>
        <item x="152"/>
        <item x="153"/>
        <item x="156"/>
        <item x="159"/>
        <item x="157"/>
        <item x="163"/>
        <item x="164"/>
        <item x="165"/>
        <item x="166"/>
        <item x="211"/>
        <item x="174"/>
        <item x="178"/>
        <item x="167"/>
        <item x="169"/>
        <item x="176"/>
        <item x="185"/>
        <item x="172"/>
        <item x="170"/>
        <item x="184"/>
        <item x="180"/>
        <item x="181"/>
        <item x="171"/>
        <item x="175"/>
        <item x="214"/>
        <item x="177"/>
        <item x="59"/>
        <item x="113"/>
        <item x="104"/>
        <item x="111"/>
        <item x="119"/>
        <item x="205"/>
        <item x="168"/>
        <item x="179"/>
        <item x="182"/>
        <item x="33"/>
        <item x="186"/>
        <item x="191"/>
        <item x="199"/>
        <item x="190"/>
        <item x="193"/>
        <item x="189"/>
        <item x="194"/>
        <item x="195"/>
        <item x="196"/>
        <item x="197"/>
        <item x="192"/>
        <item x="187"/>
        <item x="198"/>
        <item x="200"/>
        <item x="201"/>
        <item x="5"/>
        <item x="68"/>
        <item x="203"/>
        <item x="202"/>
        <item x="204"/>
        <item x="210"/>
        <item x="206"/>
        <item x="209"/>
        <item x="208"/>
        <item x="161"/>
        <item x="213"/>
        <item x="215"/>
        <item x="216"/>
        <item t="default"/>
      </items>
    </pivotField>
    <pivotField showAll="0">
      <items count="8">
        <item x="4"/>
        <item x="3"/>
        <item x="0"/>
        <item x="1"/>
        <item x="6"/>
        <item x="5"/>
        <item x="2"/>
        <item t="default"/>
      </items>
    </pivotField>
    <pivotField showAll="0"/>
    <pivotField showAll="0"/>
    <pivotField showAll="0"/>
    <pivotField showAll="0"/>
    <pivotField showAll="0"/>
    <pivotField axis="axisPage" multipleItemSelectionAllowed="1" showAll="0">
      <items count="5">
        <item x="3"/>
        <item x="2"/>
        <item x="1"/>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7"/>
    </i>
    <i>
      <x v="91"/>
    </i>
    <i>
      <x v="110"/>
    </i>
    <i>
      <x v="119"/>
    </i>
    <i>
      <x v="144"/>
    </i>
    <i>
      <x v="178"/>
    </i>
    <i>
      <x v="185"/>
    </i>
    <i>
      <x v="198"/>
    </i>
    <i>
      <x v="213"/>
    </i>
    <i>
      <x v="216"/>
    </i>
    <i t="grand">
      <x/>
    </i>
  </rowItems>
  <colItems count="1">
    <i/>
  </colItems>
  <pageFields count="1">
    <pageField fld="7" hier="-1"/>
  </pageFields>
  <dataFields count="1">
    <dataField name="Average of Inflation Annual Pct" fld="8"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874F8-7053-4B9C-8C1F-4D8AE4B7C7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116:C124" firstHeaderRow="0" firstDataRow="1" firstDataCol="1"/>
  <pivotFields count="19">
    <pivotField showAll="0"/>
    <pivotField axis="axisRow" showAll="0">
      <items count="8">
        <item x="4"/>
        <item x="3"/>
        <item x="0"/>
        <item x="1"/>
        <item x="6"/>
        <item x="5"/>
        <item x="2"/>
        <item t="default"/>
      </items>
    </pivotField>
    <pivotField showAll="0"/>
    <pivotField showAll="0"/>
    <pivotField showAll="0"/>
    <pivotField showAll="0"/>
    <pivotField showAll="0"/>
    <pivotField showAll="0">
      <items count="5">
        <item x="3"/>
        <item x="2"/>
        <item x="1"/>
        <item h="1" x="0"/>
        <item t="default"/>
      </items>
    </pivotField>
    <pivotField dataField="1" showAll="0">
      <items count="181">
        <item x="1"/>
        <item h="1" x="97"/>
        <item h="1" x="98"/>
        <item h="1" x="39"/>
        <item h="1" x="25"/>
        <item h="1" x="32"/>
        <item h="1" x="6"/>
        <item h="1" x="157"/>
        <item h="1" x="160"/>
        <item h="1" x="18"/>
        <item h="1" x="163"/>
        <item h="1" x="127"/>
        <item h="1" x="133"/>
        <item h="1" x="103"/>
        <item h="1" x="129"/>
        <item h="1" x="100"/>
        <item h="1" x="144"/>
        <item h="1" x="88"/>
        <item h="1" x="148"/>
        <item h="1" x="17"/>
        <item h="1" x="81"/>
        <item h="1" x="104"/>
        <item h="1" x="38"/>
        <item h="1" x="30"/>
        <item h="1" x="66"/>
        <item h="1" x="59"/>
        <item h="1" x="174"/>
        <item h="1" x="13"/>
        <item h="1" x="57"/>
        <item h="1" x="149"/>
        <item h="1" x="102"/>
        <item h="1" x="138"/>
        <item h="1" x="45"/>
        <item h="1" x="107"/>
        <item h="1" x="24"/>
        <item h="1" x="28"/>
        <item h="1" x="48"/>
        <item h="1" x="83"/>
        <item h="1" x="53"/>
        <item h="1" x="176"/>
        <item h="1" x="111"/>
        <item h="1" x="4"/>
        <item h="1" x="142"/>
        <item h="1" x="69"/>
        <item h="1" x="141"/>
        <item h="1" x="40"/>
        <item h="1" x="118"/>
        <item h="1" x="155"/>
        <item h="1" x="55"/>
        <item h="1" x="130"/>
        <item h="1" x="101"/>
        <item h="1" x="161"/>
        <item h="1" x="43"/>
        <item h="1" x="76"/>
        <item h="1" x="96"/>
        <item h="1" x="175"/>
        <item h="1" x="74"/>
        <item h="1" x="10"/>
        <item h="1" x="3"/>
        <item h="1" x="132"/>
        <item h="1" x="42"/>
        <item h="1" x="91"/>
        <item h="1" x="29"/>
        <item h="1" x="145"/>
        <item h="1" x="135"/>
        <item h="1" x="41"/>
        <item h="1" x="16"/>
        <item h="1" x="89"/>
        <item h="1" x="115"/>
        <item h="1" x="78"/>
        <item h="1" x="44"/>
        <item h="1" x="84"/>
        <item h="1" x="65"/>
        <item h="1" x="50"/>
        <item h="1" x="154"/>
        <item h="1" x="26"/>
        <item h="1" x="27"/>
        <item h="1" x="156"/>
        <item h="1" x="159"/>
        <item h="1" x="67"/>
        <item h="1" x="92"/>
        <item h="1" x="68"/>
        <item h="1" x="64"/>
        <item h="1" x="126"/>
        <item h="1" x="9"/>
        <item h="1" x="170"/>
        <item h="1" x="71"/>
        <item h="1" x="166"/>
        <item h="1" x="80"/>
        <item h="1" x="35"/>
        <item h="1" x="12"/>
        <item h="1" x="124"/>
        <item h="1" x="8"/>
        <item h="1" x="162"/>
        <item h="1" x="110"/>
        <item h="1" x="131"/>
        <item h="1" x="58"/>
        <item h="1" x="21"/>
        <item h="1" x="46"/>
        <item h="1" x="167"/>
        <item h="1" x="112"/>
        <item h="1" x="123"/>
        <item h="1" x="33"/>
        <item h="1" x="109"/>
        <item h="1" x="51"/>
        <item h="1" x="90"/>
        <item h="1" x="116"/>
        <item h="1" x="173"/>
        <item h="1" x="172"/>
        <item h="1" x="73"/>
        <item h="1" x="63"/>
        <item h="1" x="134"/>
        <item h="1" x="136"/>
        <item h="1" x="54"/>
        <item h="1" x="47"/>
        <item h="1" x="114"/>
        <item h="1" x="14"/>
        <item h="1" x="119"/>
        <item h="1" x="31"/>
        <item h="1" x="146"/>
        <item h="1" x="177"/>
        <item h="1" x="23"/>
        <item h="1" x="86"/>
        <item h="1" x="34"/>
        <item h="1" x="70"/>
        <item h="1" x="122"/>
        <item h="1" x="150"/>
        <item h="1" x="105"/>
        <item h="1" x="125"/>
        <item h="1" x="108"/>
        <item h="1" x="169"/>
        <item h="1" x="75"/>
        <item h="1" x="87"/>
        <item h="1" x="37"/>
        <item h="1" x="22"/>
        <item h="1" x="56"/>
        <item h="1" x="82"/>
        <item h="1" x="139"/>
        <item h="1" x="20"/>
        <item h="1" x="79"/>
        <item h="1" x="99"/>
        <item h="1" x="19"/>
        <item h="1" x="113"/>
        <item h="1" x="7"/>
        <item h="1" x="168"/>
        <item h="1" x="36"/>
        <item h="1" x="164"/>
        <item h="1" x="106"/>
        <item h="1" x="61"/>
        <item h="1" x="95"/>
        <item h="1" x="140"/>
        <item h="1" x="85"/>
        <item h="1" x="158"/>
        <item h="1" x="120"/>
        <item h="1" x="171"/>
        <item h="1" x="15"/>
        <item h="1" x="62"/>
        <item h="1" x="128"/>
        <item h="1" x="152"/>
        <item h="1" x="178"/>
        <item h="1" x="153"/>
        <item h="1" x="11"/>
        <item h="1" x="52"/>
        <item h="1" x="60"/>
        <item h="1" x="93"/>
        <item h="1" x="72"/>
        <item h="1" x="2"/>
        <item h="1" x="49"/>
        <item h="1" x="147"/>
        <item h="1" x="117"/>
        <item h="1" x="77"/>
        <item h="1" x="121"/>
        <item h="1" x="94"/>
        <item h="1" x="137"/>
        <item h="1" x="165"/>
        <item h="1" x="151"/>
        <item h="1" x="179"/>
        <item h="1" x="143"/>
        <item h="1" x="5"/>
        <item h="1" x="0"/>
        <item t="default"/>
      </items>
    </pivotField>
    <pivotField dataField="1" showAll="0">
      <items count="45">
        <item x="1"/>
        <item x="4"/>
        <item x="31"/>
        <item x="35"/>
        <item x="36"/>
        <item x="18"/>
        <item x="29"/>
        <item x="19"/>
        <item x="28"/>
        <item x="10"/>
        <item x="24"/>
        <item x="6"/>
        <item x="33"/>
        <item x="27"/>
        <item x="26"/>
        <item x="42"/>
        <item x="37"/>
        <item x="30"/>
        <item x="17"/>
        <item x="38"/>
        <item x="14"/>
        <item x="22"/>
        <item x="23"/>
        <item x="12"/>
        <item x="15"/>
        <item x="5"/>
        <item x="8"/>
        <item x="34"/>
        <item x="25"/>
        <item x="16"/>
        <item x="40"/>
        <item x="20"/>
        <item x="3"/>
        <item x="39"/>
        <item x="13"/>
        <item x="2"/>
        <item x="32"/>
        <item x="43"/>
        <item x="7"/>
        <item x="21"/>
        <item x="41"/>
        <item x="9"/>
        <item x="11"/>
        <item x="0"/>
        <item t="default"/>
      </items>
    </pivotField>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Average  Inflation Rate (%)" fld="8" subtotal="average" baseField="1" baseItem="0"/>
    <dataField name="Average of Cost of Living " fld="9"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931C8E-2A1A-4383-8549-64D923E1C7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ies">
  <location ref="A92:B98" firstHeaderRow="1" firstDataRow="1" firstDataCol="1"/>
  <pivotFields count="19">
    <pivotField axis="axisRow" showAll="0">
      <items count="218">
        <item h="1" x="1"/>
        <item h="1" x="3"/>
        <item h="1" x="55"/>
        <item h="1" x="8"/>
        <item h="1" x="4"/>
        <item h="1" x="2"/>
        <item h="1" x="9"/>
        <item h="1" x="6"/>
        <item h="1" x="7"/>
        <item h="1" x="0"/>
        <item h="1" x="10"/>
        <item h="1" x="11"/>
        <item h="1" x="12"/>
        <item h="1" x="20"/>
        <item h="1" x="19"/>
        <item h="1" x="17"/>
        <item h="1" x="27"/>
        <item h="1" x="22"/>
        <item h="1" x="14"/>
        <item h="1" x="23"/>
        <item h="1" x="15"/>
        <item h="1" x="24"/>
        <item h="1" x="29"/>
        <item h="1" x="25"/>
        <item h="1" x="21"/>
        <item h="1" x="30"/>
        <item h="1" x="26"/>
        <item h="1" x="207"/>
        <item h="1" x="28"/>
        <item h="1" x="18"/>
        <item h="1" x="16"/>
        <item h="1" x="13"/>
        <item h="1" x="43"/>
        <item h="1" x="102"/>
        <item h="1" x="38"/>
        <item h="1" x="32"/>
        <item h="1" x="47"/>
        <item h="1" x="31"/>
        <item h="1" x="188"/>
        <item h="1" x="34"/>
        <item h="1" x="35"/>
        <item h="1" x="36"/>
        <item h="1" x="41"/>
        <item h="1" x="42"/>
        <item h="1" x="39"/>
        <item h="1" x="40"/>
        <item h="1" x="44"/>
        <item h="1" x="37"/>
        <item h="1" x="84"/>
        <item h="1" x="45"/>
        <item h="1" x="46"/>
        <item h="1" x="48"/>
        <item h="1" x="49"/>
        <item h="1" x="53"/>
        <item h="1" x="51"/>
        <item h="1" x="52"/>
        <item h="1" x="54"/>
        <item h="1" x="56"/>
        <item h="1" x="57"/>
        <item h="1" x="173"/>
        <item h="1" x="75"/>
        <item h="1" x="58"/>
        <item h="1" x="60"/>
        <item h="1" x="183"/>
        <item h="1" x="61"/>
        <item h="1" x="65"/>
        <item h="1" x="63"/>
        <item h="1" x="62"/>
        <item h="1" x="64"/>
        <item h="1" x="162"/>
        <item h="1" x="67"/>
        <item h="1" x="73"/>
        <item h="1" x="69"/>
        <item h="1" x="50"/>
        <item h="1" x="70"/>
        <item h="1" x="71"/>
        <item h="1" x="76"/>
        <item h="1" x="78"/>
        <item h="1" x="77"/>
        <item h="1" x="80"/>
        <item h="1" x="79"/>
        <item h="1" x="72"/>
        <item h="1" x="74"/>
        <item h="1" x="81"/>
        <item h="1" x="85"/>
        <item h="1" x="83"/>
        <item h="1" x="82"/>
        <item h="1" x="86"/>
        <item h="1" x="93"/>
        <item h="1" x="89"/>
        <item h="1" x="87"/>
        <item h="1" x="91"/>
        <item h="1" x="92"/>
        <item h="1" x="90"/>
        <item h="1" x="88"/>
        <item h="1" x="94"/>
        <item h="1" x="95"/>
        <item h="1" x="96"/>
        <item h="1" x="98"/>
        <item h="1" x="97"/>
        <item h="1" x="99"/>
        <item x="100"/>
        <item h="1" x="103"/>
        <item h="1" x="158"/>
        <item h="1" x="105"/>
        <item h="1" x="212"/>
        <item h="1" x="106"/>
        <item h="1" x="101"/>
        <item h="1" x="107"/>
        <item h="1" x="117"/>
        <item h="1" x="108"/>
        <item h="1" x="114"/>
        <item h="1" x="109"/>
        <item h="1" x="110"/>
        <item h="1" x="112"/>
        <item h="1" x="115"/>
        <item h="1" x="116"/>
        <item h="1" x="118"/>
        <item h="1" x="123"/>
        <item h="1" x="137"/>
        <item h="1" x="138"/>
        <item h="1" x="124"/>
        <item h="1" x="128"/>
        <item h="1" x="129"/>
        <item h="1" x="126"/>
        <item h="1" x="135"/>
        <item h="1" x="136"/>
        <item h="1" x="125"/>
        <item h="1" x="66"/>
        <item h="1" x="122"/>
        <item h="1" x="121"/>
        <item h="1" x="132"/>
        <item h="1" x="131"/>
        <item h="1" x="120"/>
        <item h="1" x="134"/>
        <item h="1" x="130"/>
        <item h="1" x="139"/>
        <item h="1" x="147"/>
        <item h="1" x="146"/>
        <item h="1" x="144"/>
        <item h="1" x="140"/>
        <item h="1" x="148"/>
        <item h="1" x="143"/>
        <item h="1" x="141"/>
        <item x="142"/>
        <item h="1" x="127"/>
        <item h="1" x="133"/>
        <item h="1" x="145"/>
        <item h="1" x="149"/>
        <item h="1" x="150"/>
        <item h="1" x="154"/>
        <item h="1" x="151"/>
        <item h="1" x="155"/>
        <item h="1" x="160"/>
        <item h="1" x="152"/>
        <item h="1" x="153"/>
        <item h="1" x="156"/>
        <item h="1" x="159"/>
        <item h="1" x="157"/>
        <item h="1" x="163"/>
        <item h="1" x="164"/>
        <item h="1" x="165"/>
        <item h="1" x="166"/>
        <item h="1" x="211"/>
        <item h="1" x="174"/>
        <item h="1" x="178"/>
        <item h="1" x="167"/>
        <item h="1" x="169"/>
        <item h="1" x="176"/>
        <item h="1" x="185"/>
        <item h="1" x="172"/>
        <item h="1" x="170"/>
        <item h="1" x="184"/>
        <item h="1" x="180"/>
        <item h="1" x="181"/>
        <item h="1" x="171"/>
        <item h="1" x="175"/>
        <item x="214"/>
        <item h="1" x="177"/>
        <item h="1" x="59"/>
        <item h="1" x="113"/>
        <item h="1" x="104"/>
        <item h="1" x="111"/>
        <item h="1" x="119"/>
        <item h="1" x="205"/>
        <item h="1" x="168"/>
        <item h="1" x="179"/>
        <item h="1" x="182"/>
        <item h="1" x="33"/>
        <item h="1" x="186"/>
        <item h="1" x="191"/>
        <item h="1" x="199"/>
        <item h="1" x="190"/>
        <item h="1" x="193"/>
        <item h="1" x="189"/>
        <item h="1" x="194"/>
        <item h="1" x="195"/>
        <item h="1" x="196"/>
        <item h="1" x="197"/>
        <item h="1" x="192"/>
        <item h="1" x="187"/>
        <item h="1" x="198"/>
        <item h="1" x="200"/>
        <item h="1" x="201"/>
        <item h="1" x="5"/>
        <item x="68"/>
        <item x="203"/>
        <item h="1" x="202"/>
        <item h="1" x="204"/>
        <item h="1" x="210"/>
        <item h="1" x="206"/>
        <item h="1" x="209"/>
        <item h="1" x="208"/>
        <item h="1" x="161"/>
        <item h="1" x="213"/>
        <item h="1" x="215"/>
        <item h="1" x="216"/>
        <item t="default"/>
      </items>
    </pivotField>
    <pivotField showAll="0">
      <items count="8">
        <item x="4"/>
        <item x="3"/>
        <item x="0"/>
        <item x="1"/>
        <item x="6"/>
        <item x="5"/>
        <item x="2"/>
        <item t="default"/>
      </items>
    </pivotField>
    <pivotField showAll="0"/>
    <pivotField showAll="0"/>
    <pivotField showAll="0"/>
    <pivotField showAll="0"/>
    <pivotField showAll="0"/>
    <pivotField showAll="0">
      <items count="5">
        <item x="3"/>
        <item x="2"/>
        <item x="1"/>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01"/>
    </i>
    <i>
      <x v="144"/>
    </i>
    <i>
      <x v="177"/>
    </i>
    <i>
      <x v="205"/>
    </i>
    <i>
      <x v="206"/>
    </i>
    <i t="grand">
      <x/>
    </i>
  </rowItems>
  <colItems count="1">
    <i/>
  </colItems>
  <dataFields count="1">
    <dataField name="Average of Inflation Annual Pct" fld="8"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5DCD37AD-2438-4B93-88DE-499ECB95D2CD}" autoFormatId="16" applyNumberFormats="0" applyBorderFormats="0" applyFontFormats="0" applyPatternFormats="0" applyAlignmentFormats="0" applyWidthHeightFormats="0">
  <queryTableRefresh nextId="22">
    <queryTableFields count="21">
      <queryTableField id="1" name="Country" tableColumnId="1"/>
      <queryTableField id="2" name="Region" tableColumnId="2"/>
      <queryTableField id="3" name="income Level" tableColumnId="3"/>
      <queryTableField id="4" name="Capital City" tableColumnId="4"/>
      <queryTableField id="5" name="Latitude" tableColumnId="5"/>
      <queryTableField id="6" name="Longitude" tableColumnId="6"/>
      <queryTableField id="7" name="Country Code" tableColumnId="7"/>
      <queryTableField id="8" name="Inflation Year" tableColumnId="8"/>
      <queryTableField id="9" name="Inflation Rate" tableColumnId="9"/>
      <queryTableField id="10" name="Cost of Living Index" tableColumnId="10"/>
      <queryTableField id="11" name="Inflation Value Check" tableColumnId="11"/>
      <queryTableField id="12" name="Cost of Living Value Check" tableColumnId="12"/>
      <queryTableField id="13" name="Rent " tableColumnId="13"/>
      <queryTableField id="14" name="Groceries  " tableColumnId="14"/>
      <queryTableField id="15" name="Restaurants " tableColumnId="15"/>
      <queryTableField id="16" name="Purchasing Power" tableColumnId="16"/>
      <queryTableField id="17" name="Bread Price _Usd" tableColumnId="17"/>
      <queryTableField id="18" name="Transport Oneway _Usd" tableColumnId="18"/>
      <queryTableField id="19" name="Transport Monthly Pass _ Usd" tableColumnId="19"/>
      <queryTableField id="20" name="Rent Monthly_Usd" tableColumnId="20"/>
      <queryTableField id="21" name="Utilities Monthly_Usd"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B991072-7136-428C-A2A3-FAD49D86338A}" autoFormatId="16" applyNumberFormats="0" applyBorderFormats="0" applyFontFormats="0" applyPatternFormats="0" applyAlignmentFormats="0" applyWidthHeightFormats="0">
  <queryTableRefresh nextId="22">
    <queryTableFields count="21">
      <queryTableField id="1" name="Country" tableColumnId="1"/>
      <queryTableField id="2" name="Region" tableColumnId="2"/>
      <queryTableField id="3" name="income Level" tableColumnId="3"/>
      <queryTableField id="4" name="Capital City" tableColumnId="4"/>
      <queryTableField id="5" name="Latitude" tableColumnId="5"/>
      <queryTableField id="6" name="Longitude" tableColumnId="6"/>
      <queryTableField id="7" name="Country Code" tableColumnId="7"/>
      <queryTableField id="8" name="Inflation Year" tableColumnId="8"/>
      <queryTableField id="9" name="Inflation Rate" tableColumnId="9"/>
      <queryTableField id="10" name="Cost of Living Index" tableColumnId="10"/>
      <queryTableField id="11" name="Inflation Value Check" tableColumnId="11"/>
      <queryTableField id="12" name="Cost of Living Value Check" tableColumnId="12"/>
      <queryTableField id="13" name="Rent " tableColumnId="13"/>
      <queryTableField id="14" name="Groceries  " tableColumnId="14"/>
      <queryTableField id="15" name="Restaurants " tableColumnId="15"/>
      <queryTableField id="16" name="Purchasing Power" tableColumnId="16"/>
      <queryTableField id="17" name="Bread Price _Usd" tableColumnId="17"/>
      <queryTableField id="18" name="Transport Oneway _Usd" tableColumnId="18"/>
      <queryTableField id="19" name="Transport Monthly Pass _ Usd" tableColumnId="19"/>
      <queryTableField id="20" name="Rent Monthly_Usd" tableColumnId="20"/>
      <queryTableField id="21" name="Utilities Monthly_Usd"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BAA3DC-6005-452E-8A11-896A1FABABC6}" sourceName="Region">
  <pivotTables>
    <pivotTable tabId="9" name="PivotTable7"/>
    <pivotTable tabId="9" name="PivotTable5"/>
    <pivotTable tabId="9" name="PivotTable6"/>
    <pivotTable tabId="9" name="PivotTable1"/>
    <pivotTable tabId="9" name="PivotTable3"/>
    <pivotTable tabId="9" name="PivotTable4"/>
  </pivotTables>
  <data>
    <tabular pivotCacheId="149237711">
      <items count="7">
        <i x="4" s="1"/>
        <i x="3" s="1"/>
        <i x="0" s="1"/>
        <i x="1" s="1"/>
        <i x="6"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ation_Year" xr10:uid="{96064A8B-26BD-4859-885A-B7ECD6FCC313}" sourceName="Inflation Year">
  <pivotTables>
    <pivotTable tabId="9" name="PivotTable3"/>
    <pivotTable tabId="9" name="PivotTable4"/>
    <pivotTable tabId="9" name="PivotTable5"/>
    <pivotTable tabId="9" name="PivotTable6"/>
    <pivotTable tabId="9" name="PivotTable7"/>
    <pivotTable tabId="9" name="PivotTable1"/>
  </pivotTables>
  <data>
    <tabular pivotCacheId="149237711">
      <items count="4">
        <i x="3" s="1"/>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FD72D2F-6374-452E-B23F-6A76FE2EE7F8}" sourceName="Country">
  <pivotTables>
    <pivotTable tabId="9" name="PivotTable4"/>
    <pivotTable tabId="9" name="PivotTable3"/>
  </pivotTables>
  <data>
    <tabular pivotCacheId="149237711">
      <items count="217">
        <i x="1" s="1"/>
        <i x="3" s="1"/>
        <i x="55" s="1"/>
        <i x="2" s="1"/>
        <i x="9" s="1"/>
        <i x="6" s="1"/>
        <i x="7" s="1"/>
        <i x="10" s="1"/>
        <i x="11" s="1"/>
        <i x="12" s="1"/>
        <i x="20" s="1"/>
        <i x="19" s="1"/>
        <i x="17" s="1"/>
        <i x="27" s="1"/>
        <i x="22" s="1"/>
        <i x="14" s="1"/>
        <i x="23" s="1"/>
        <i x="15" s="1"/>
        <i x="29" s="1"/>
        <i x="25" s="1"/>
        <i x="21" s="1"/>
        <i x="30" s="1"/>
        <i x="26" s="1"/>
        <i x="28" s="1"/>
        <i x="18" s="1"/>
        <i x="16" s="1"/>
        <i x="13" s="1"/>
        <i x="43" s="1"/>
        <i x="102" s="1"/>
        <i x="38" s="1"/>
        <i x="32" s="1"/>
        <i x="31" s="1"/>
        <i x="188" s="1"/>
        <i x="35" s="1"/>
        <i x="36" s="1"/>
        <i x="41" s="1"/>
        <i x="42" s="1"/>
        <i x="40" s="1"/>
        <i x="44" s="1"/>
        <i x="37" s="1"/>
        <i x="84" s="1"/>
        <i x="48" s="1"/>
        <i x="49" s="1"/>
        <i x="53" s="1"/>
        <i x="51" s="1"/>
        <i x="52" s="1"/>
        <i x="54" s="1"/>
        <i x="56" s="1"/>
        <i x="57" s="1"/>
        <i x="173" s="1"/>
        <i x="75" s="1"/>
        <i x="60" s="1"/>
        <i x="61" s="1"/>
        <i x="63" s="1"/>
        <i x="62" s="1"/>
        <i x="64" s="1"/>
        <i x="67" s="1"/>
        <i x="73" s="1"/>
        <i x="69" s="1"/>
        <i x="50" s="1"/>
        <i x="70" s="1"/>
        <i x="76" s="1"/>
        <i x="77" s="1"/>
        <i x="79" s="1"/>
        <i x="72" s="1"/>
        <i x="74" s="1"/>
        <i x="81" s="1"/>
        <i x="85" s="1"/>
        <i x="83" s="1"/>
        <i x="82" s="1"/>
        <i x="86" s="1"/>
        <i x="93" s="1"/>
        <i x="89" s="1"/>
        <i x="87" s="1"/>
        <i x="91" s="1"/>
        <i x="92" s="1"/>
        <i x="90" s="1"/>
        <i x="94" s="1"/>
        <i x="95" s="1"/>
        <i x="96" s="1"/>
        <i x="98" s="1"/>
        <i x="97" s="1"/>
        <i x="99" s="1"/>
        <i x="100" s="1"/>
        <i x="103" s="1"/>
        <i x="105" s="1"/>
        <i x="212" s="1"/>
        <i x="106" s="1"/>
        <i x="101" s="1"/>
        <i x="107" s="1"/>
        <i x="117" s="1"/>
        <i x="108" s="1"/>
        <i x="114" s="1"/>
        <i x="109" s="1"/>
        <i x="110" s="1"/>
        <i x="115" s="1"/>
        <i x="116" s="1"/>
        <i x="118" s="1"/>
        <i x="123" s="1"/>
        <i x="137" s="1"/>
        <i x="138" s="1"/>
        <i x="124" s="1"/>
        <i x="128" s="1"/>
        <i x="129" s="1"/>
        <i x="135" s="1"/>
        <i x="136" s="1"/>
        <i x="125" s="1"/>
        <i x="66" s="1"/>
        <i x="122" s="1"/>
        <i x="132" s="1"/>
        <i x="131" s="1"/>
        <i x="120" s="1"/>
        <i x="134" s="1"/>
        <i x="139" s="1"/>
        <i x="146" s="1"/>
        <i x="144" s="1"/>
        <i x="148" s="1"/>
        <i x="143" s="1"/>
        <i x="141" s="1"/>
        <i x="142" s="1"/>
        <i x="127" s="1"/>
        <i x="145" s="1"/>
        <i x="149" s="1"/>
        <i x="150" s="1"/>
        <i x="154" s="1"/>
        <i x="151" s="1"/>
        <i x="155" s="1"/>
        <i x="160" s="1"/>
        <i x="152" s="1"/>
        <i x="153" s="1"/>
        <i x="156" s="1"/>
        <i x="159" s="1"/>
        <i x="163" s="1"/>
        <i x="164" s="1"/>
        <i x="165" s="1"/>
        <i x="166" s="1"/>
        <i x="211" s="1"/>
        <i x="174" s="1"/>
        <i x="178" s="1"/>
        <i x="167" s="1"/>
        <i x="169" s="1"/>
        <i x="176" s="1"/>
        <i x="185" s="1"/>
        <i x="172" s="1"/>
        <i x="170" s="1"/>
        <i x="180" s="1"/>
        <i x="181" s="1"/>
        <i x="171" s="1"/>
        <i x="214" s="1"/>
        <i x="177" s="1"/>
        <i x="59" s="1"/>
        <i x="113" s="1"/>
        <i x="104" s="1"/>
        <i x="111" s="1"/>
        <i x="205" s="1"/>
        <i x="168" s="1"/>
        <i x="179" s="1"/>
        <i x="182" s="1"/>
        <i x="33" s="1"/>
        <i x="199" s="1"/>
        <i x="190" s="1"/>
        <i x="193" s="1"/>
        <i x="189" s="1"/>
        <i x="194" s="1"/>
        <i x="195" s="1"/>
        <i x="196" s="1"/>
        <i x="197" s="1"/>
        <i x="200" s="1"/>
        <i x="201" s="1"/>
        <i x="5" s="1"/>
        <i x="68" s="1"/>
        <i x="203" s="1"/>
        <i x="202" s="1"/>
        <i x="204" s="1"/>
        <i x="210" s="1"/>
        <i x="209" s="1"/>
        <i x="161" s="1"/>
        <i x="215" s="1"/>
        <i x="216" s="1"/>
        <i x="8" s="1" nd="1"/>
        <i x="4" s="1" nd="1"/>
        <i x="0" s="1" nd="1"/>
        <i x="24" s="1" nd="1"/>
        <i x="207" s="1" nd="1"/>
        <i x="47" s="1" nd="1"/>
        <i x="34" s="1" nd="1"/>
        <i x="39" s="1" nd="1"/>
        <i x="45" s="1" nd="1"/>
        <i x="46" s="1" nd="1"/>
        <i x="58" s="1" nd="1"/>
        <i x="183" s="1" nd="1"/>
        <i x="65" s="1" nd="1"/>
        <i x="162" s="1" nd="1"/>
        <i x="71" s="1" nd="1"/>
        <i x="78" s="1" nd="1"/>
        <i x="80" s="1" nd="1"/>
        <i x="88" s="1" nd="1"/>
        <i x="158" s="1" nd="1"/>
        <i x="112" s="1" nd="1"/>
        <i x="126" s="1" nd="1"/>
        <i x="121" s="1" nd="1"/>
        <i x="130" s="1" nd="1"/>
        <i x="147" s="1" nd="1"/>
        <i x="140" s="1" nd="1"/>
        <i x="133" s="1" nd="1"/>
        <i x="157" s="1" nd="1"/>
        <i x="184" s="1" nd="1"/>
        <i x="175" s="1" nd="1"/>
        <i x="119" s="1" nd="1"/>
        <i x="186" s="1" nd="1"/>
        <i x="191" s="1" nd="1"/>
        <i x="192" s="1" nd="1"/>
        <i x="187" s="1" nd="1"/>
        <i x="198" s="1" nd="1"/>
        <i x="206" s="1" nd="1"/>
        <i x="208" s="1" nd="1"/>
        <i x="2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C04BE6-B85D-42AD-A262-AB48807719B4}" sourceName="Country">
  <data>
    <tabular pivotCacheId="149237711">
      <items count="217">
        <i x="1"/>
        <i x="3"/>
        <i x="55"/>
        <i x="2"/>
        <i x="9"/>
        <i x="6"/>
        <i x="7"/>
        <i x="10"/>
        <i x="11"/>
        <i x="12"/>
        <i x="20"/>
        <i x="19"/>
        <i x="17"/>
        <i x="27"/>
        <i x="22"/>
        <i x="14"/>
        <i x="23"/>
        <i x="15"/>
        <i x="29"/>
        <i x="25"/>
        <i x="21"/>
        <i x="30"/>
        <i x="26"/>
        <i x="28"/>
        <i x="18"/>
        <i x="16"/>
        <i x="13"/>
        <i x="43"/>
        <i x="102"/>
        <i x="38"/>
        <i x="32"/>
        <i x="31"/>
        <i x="188"/>
        <i x="35"/>
        <i x="36"/>
        <i x="41"/>
        <i x="42"/>
        <i x="40"/>
        <i x="44"/>
        <i x="37"/>
        <i x="84"/>
        <i x="48"/>
        <i x="49"/>
        <i x="53"/>
        <i x="51"/>
        <i x="52"/>
        <i x="54"/>
        <i x="56"/>
        <i x="57"/>
        <i x="173"/>
        <i x="75"/>
        <i x="60"/>
        <i x="61"/>
        <i x="63"/>
        <i x="62"/>
        <i x="64"/>
        <i x="67"/>
        <i x="73"/>
        <i x="69"/>
        <i x="50"/>
        <i x="70"/>
        <i x="76"/>
        <i x="77"/>
        <i x="79"/>
        <i x="72"/>
        <i x="74"/>
        <i x="81"/>
        <i x="85"/>
        <i x="83"/>
        <i x="82"/>
        <i x="86"/>
        <i x="93"/>
        <i x="89"/>
        <i x="87"/>
        <i x="91"/>
        <i x="92"/>
        <i x="90"/>
        <i x="94"/>
        <i x="95"/>
        <i x="96"/>
        <i x="98"/>
        <i x="97"/>
        <i x="99"/>
        <i x="100" s="1"/>
        <i x="103"/>
        <i x="105"/>
        <i x="212"/>
        <i x="106"/>
        <i x="101"/>
        <i x="107"/>
        <i x="117"/>
        <i x="108"/>
        <i x="114"/>
        <i x="109"/>
        <i x="110"/>
        <i x="115"/>
        <i x="116"/>
        <i x="118"/>
        <i x="123"/>
        <i x="137"/>
        <i x="138"/>
        <i x="124"/>
        <i x="128"/>
        <i x="129"/>
        <i x="135"/>
        <i x="136"/>
        <i x="125"/>
        <i x="66"/>
        <i x="122"/>
        <i x="132"/>
        <i x="131"/>
        <i x="120"/>
        <i x="134"/>
        <i x="139"/>
        <i x="146"/>
        <i x="144"/>
        <i x="148"/>
        <i x="143"/>
        <i x="141"/>
        <i x="142" s="1"/>
        <i x="127"/>
        <i x="145"/>
        <i x="149"/>
        <i x="150"/>
        <i x="154"/>
        <i x="151"/>
        <i x="155"/>
        <i x="160"/>
        <i x="152"/>
        <i x="153"/>
        <i x="156"/>
        <i x="159"/>
        <i x="163"/>
        <i x="164"/>
        <i x="165"/>
        <i x="166"/>
        <i x="211"/>
        <i x="174"/>
        <i x="178"/>
        <i x="167"/>
        <i x="169"/>
        <i x="176"/>
        <i x="185"/>
        <i x="172"/>
        <i x="170"/>
        <i x="180"/>
        <i x="181"/>
        <i x="171"/>
        <i x="214" s="1"/>
        <i x="177"/>
        <i x="59"/>
        <i x="113"/>
        <i x="104"/>
        <i x="111"/>
        <i x="205"/>
        <i x="168"/>
        <i x="179"/>
        <i x="182"/>
        <i x="33"/>
        <i x="199"/>
        <i x="190"/>
        <i x="193"/>
        <i x="189"/>
        <i x="194"/>
        <i x="195"/>
        <i x="196"/>
        <i x="197"/>
        <i x="200"/>
        <i x="201"/>
        <i x="5"/>
        <i x="68" s="1"/>
        <i x="203" s="1"/>
        <i x="202"/>
        <i x="204"/>
        <i x="210"/>
        <i x="209"/>
        <i x="161"/>
        <i x="215"/>
        <i x="216"/>
        <i x="8" nd="1"/>
        <i x="4" nd="1"/>
        <i x="0" nd="1"/>
        <i x="24" nd="1"/>
        <i x="207" nd="1"/>
        <i x="47" nd="1"/>
        <i x="34" nd="1"/>
        <i x="39" nd="1"/>
        <i x="45" nd="1"/>
        <i x="46" nd="1"/>
        <i x="58" nd="1"/>
        <i x="183" nd="1"/>
        <i x="65" nd="1"/>
        <i x="162" nd="1"/>
        <i x="71" nd="1"/>
        <i x="78" nd="1"/>
        <i x="80" nd="1"/>
        <i x="88" nd="1"/>
        <i x="158" nd="1"/>
        <i x="112" nd="1"/>
        <i x="126" nd="1"/>
        <i x="121" nd="1"/>
        <i x="130" nd="1"/>
        <i x="147" nd="1"/>
        <i x="140" nd="1"/>
        <i x="133" nd="1"/>
        <i x="157" nd="1"/>
        <i x="184" nd="1"/>
        <i x="175" nd="1"/>
        <i x="119" nd="1"/>
        <i x="186" nd="1"/>
        <i x="191" nd="1"/>
        <i x="192" nd="1"/>
        <i x="187" nd="1"/>
        <i x="198" nd="1"/>
        <i x="206" nd="1"/>
        <i x="208" nd="1"/>
        <i x="2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8D3388-707A-4764-8FD9-01B34DC8F499}" cache="Slicer_Region" caption="Region" rowHeight="241300"/>
  <slicer name="Inflation Year" xr10:uid="{ED8D8BE4-69C0-40EA-8790-D403CBB182BD}" cache="Slicer_Inflation_Year" caption="Inflation Year" rowHeight="241300"/>
  <slicer name="Country 1" xr10:uid="{BE8FA274-ED85-4D89-9769-F3BC9E435407}" cache="Slicer_Country1" caption="Country" rowHeight="241300"/>
  <slicer name="Country" xr10:uid="{8F0D090E-83D7-4CCC-961F-A747519996D3}" cache="Slicer_Country" caption="Country" startItem="15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EDE8B76-44CC-4699-8963-5E4CCF549F98}" cache="Slicer_Region" caption="Region" style="SlicerStyleLight2" rowHeight="241300"/>
  <slicer name="Inflation Year 1" xr10:uid="{06E61858-CC6A-4E5E-B39C-D6C985C7CAAD}" cache="Slicer_Inflation_Year" caption="Inflation Year" style="SlicerStyleLight2" rowHeight="241300"/>
  <slicer name="Country 2" xr10:uid="{37C95576-6F87-4395-8D43-6841D11F47ED}" cache="Slicer_Country1" caption="Country" startItem="133" style="SlicerStyleLigh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D8A4D1-BFD0-443C-A8F7-3AC0618FF35D}" name="Table145" displayName="Table145" ref="A1:W218" totalsRowShown="0" headerRowDxfId="102" headerRowBorderDxfId="101" tableBorderDxfId="100">
  <autoFilter ref="A1:W218" xr:uid="{BCB15996-FAC5-4334-95EB-2A66DC85A513}"/>
  <sortState xmlns:xlrd2="http://schemas.microsoft.com/office/spreadsheetml/2017/richdata2" ref="A2:W218">
    <sortCondition descending="1" ref="J2:J218"/>
  </sortState>
  <tableColumns count="23">
    <tableColumn id="1" xr3:uid="{33B03EA5-CACB-4216-AAC4-71BF193BB681}" name="Country" dataDxfId="99" totalsRowDxfId="98"/>
    <tableColumn id="3" xr3:uid="{499EEA5B-99F4-4E43-8515-6512568FEF19}" name="Region" dataDxfId="97" totalsRowDxfId="96"/>
    <tableColumn id="4" xr3:uid="{53C0E054-AB36-48F4-9733-D6303275BD68}" name="income Level" dataDxfId="95" totalsRowDxfId="94"/>
    <tableColumn id="5" xr3:uid="{9422B188-4F1E-42A7-8FE9-55C6CD07F625}" name="Capital City" dataDxfId="93" totalsRowDxfId="92"/>
    <tableColumn id="6" xr3:uid="{FC3116FF-B232-4FF1-B968-41EAEABFCC81}" name="Latitude" dataDxfId="91" totalsRowDxfId="90"/>
    <tableColumn id="7" xr3:uid="{87F8016A-FF6D-41AD-A789-B9CC8DB154F1}" name="Longitude" dataDxfId="89" totalsRowDxfId="88"/>
    <tableColumn id="8" xr3:uid="{0C6CB27F-2431-4FF3-ACFE-69C60DD24408}" name="Country Code" dataDxfId="87" totalsRowDxfId="86"/>
    <tableColumn id="9" xr3:uid="{DF259497-69D5-44F2-A9D3-9AE9321189B0}" name="Inflation Year" dataDxfId="85" totalsRowDxfId="84"/>
    <tableColumn id="10" xr3:uid="{A851B9C2-1ED9-45E9-B4C2-A685EC3311E2}" name="Inflation Annual Pct" dataDxfId="83" totalsRowDxfId="82"/>
    <tableColumn id="11" xr3:uid="{603E05E8-3826-4813-9B42-70DCF59DE17F}" name="Cost of Living " dataDxfId="81" totalsRowDxfId="80"/>
    <tableColumn id="21" xr3:uid="{8838B09D-BF85-4466-AB35-9E23DB3CA8BE}" name="Inflation Rate" dataDxfId="79" totalsRowDxfId="78">
      <calculatedColumnFormula>IFERROR(VALUE(Table145[[#This Row],[Inflation Annual Pct]])," ")</calculatedColumnFormula>
    </tableColumn>
    <tableColumn id="22" xr3:uid="{6DB8D880-E7A4-4BDB-B8EF-E7D0BECBDCDE}" name="Cost of Living" dataDxfId="77" totalsRowDxfId="76">
      <calculatedColumnFormula>IFERROR(VALUE(Table145[[#This Row],[Cost of Living ]])," ")</calculatedColumnFormula>
    </tableColumn>
    <tableColumn id="2" xr3:uid="{46444E79-AE90-4967-9AE8-99ADEA30B97E}" name="Column4" dataDxfId="75" totalsRowDxfId="74">
      <calculatedColumnFormula>ISNUMBER(Table145[[#This Row],[Inflation Rate]])</calculatedColumnFormula>
    </tableColumn>
    <tableColumn id="23" xr3:uid="{ED6F2931-D2C5-4CEA-8D0F-4FDB589DF493}" name="Column5" dataDxfId="73" totalsRowDxfId="72">
      <calculatedColumnFormula>ISNUMBER(Table145[[#This Row],[Cost of Living]])</calculatedColumnFormula>
    </tableColumn>
    <tableColumn id="12" xr3:uid="{7D1E9B97-D3EB-4CCD-827C-367B8C073455}" name="Rent " dataDxfId="71" totalsRowDxfId="70"/>
    <tableColumn id="13" xr3:uid="{ADBB0D98-8FB9-4320-BF4C-318126521745}" name="Groceries  " dataDxfId="69" totalsRowDxfId="68"/>
    <tableColumn id="14" xr3:uid="{C16A24F3-E4E8-4BAF-BDA2-28A70CD0A3C2}" name="Restaurants " dataDxfId="67" totalsRowDxfId="66"/>
    <tableColumn id="15" xr3:uid="{2B855DD7-5EFA-4928-9716-02B3A08AA79A}" name="Purchasing Power" dataDxfId="65" totalsRowDxfId="64"/>
    <tableColumn id="16" xr3:uid="{1043506F-927F-4202-AD70-F015BBFCC52C}" name="Bread Price _Usd" dataDxfId="63" totalsRowDxfId="62"/>
    <tableColumn id="17" xr3:uid="{37F2D25A-A4A2-4946-AA30-831C8491C494}" name="Transport Oneway _Usd" dataDxfId="61" totalsRowDxfId="60"/>
    <tableColumn id="18" xr3:uid="{DAC77BB6-37A2-4780-BF4F-EF3DB3741C01}" name="Transport Monthly Pass _ Usd" dataDxfId="59" totalsRowDxfId="58"/>
    <tableColumn id="19" xr3:uid="{48F01990-7029-49FF-9331-EAF11E981E84}" name="Rent Monthly_Usd" dataDxfId="57" totalsRowDxfId="56"/>
    <tableColumn id="20" xr3:uid="{A0B7E030-8426-48AD-8AF4-E2AF1AE03C7B}" name="Utilities Monthly_Usd" dataDxfId="55" totalsRowDxfId="5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7BFC05-4FE8-4F74-BBCE-031154FDEA9A}" name="Global_Inflation_Cost_of_Living" displayName="Global_Inflation_Cost_of_Living" ref="A1:U219" tableType="queryTable" totalsRowShown="0">
  <autoFilter ref="A1:U219" xr:uid="{117BFC05-4FE8-4F74-BBCE-031154FDEA9A}"/>
  <tableColumns count="21">
    <tableColumn id="1" xr3:uid="{96FEE046-2A11-4F16-BA73-78092697E852}" uniqueName="1" name="Country" queryTableFieldId="1" dataDxfId="53"/>
    <tableColumn id="2" xr3:uid="{E5A0DABF-5A0A-4A84-BD19-983D4BB924B9}" uniqueName="2" name="Region" queryTableFieldId="2" dataDxfId="52"/>
    <tableColumn id="3" xr3:uid="{A75BFDC7-DC59-417D-90C4-D3DF2DFFE7E5}" uniqueName="3" name="income Level" queryTableFieldId="3" dataDxfId="51"/>
    <tableColumn id="4" xr3:uid="{C3065E7E-D97F-4126-845D-83676E1FA3F6}" uniqueName="4" name="Capital City" queryTableFieldId="4" dataDxfId="50"/>
    <tableColumn id="5" xr3:uid="{50BE4462-6970-4B99-A44B-6E8F90BA8925}" uniqueName="5" name="Latitude" queryTableFieldId="5"/>
    <tableColumn id="6" xr3:uid="{ECEE15B1-37D9-49E2-8FC0-6E39B9A0DDCB}" uniqueName="6" name="Longitude" queryTableFieldId="6"/>
    <tableColumn id="7" xr3:uid="{21883867-CC76-4FC4-BF2F-109F363F8FAD}" uniqueName="7" name="Country Code" queryTableFieldId="7" dataDxfId="49"/>
    <tableColumn id="8" xr3:uid="{D6AE0B54-2801-4F79-B1FE-DAAC841C1027}" uniqueName="8" name="Inflation Year" queryTableFieldId="8" dataDxfId="48"/>
    <tableColumn id="9" xr3:uid="{93E5CBE2-9FBE-4D39-9386-AFF88ED21AB2}" uniqueName="9" name="Inflation Rate" queryTableFieldId="9"/>
    <tableColumn id="10" xr3:uid="{9F619D6E-E673-4A4D-B7AE-5FEDCE0A7A55}" uniqueName="10" name="Cost of Living Index" queryTableFieldId="10"/>
    <tableColumn id="11" xr3:uid="{41E78FB1-E717-40E6-9FFC-2EA6CB59B10C}" uniqueName="11" name="Inflation Value Check" queryTableFieldId="11"/>
    <tableColumn id="12" xr3:uid="{12B2AEC1-BA61-4EB1-AD00-D5749BF3480F}" uniqueName="12" name="Cost of Living Value Check" queryTableFieldId="12"/>
    <tableColumn id="13" xr3:uid="{011F1DBA-6C94-4B6A-B87C-F6CC1E299118}" uniqueName="13" name="Rent " queryTableFieldId="13"/>
    <tableColumn id="14" xr3:uid="{4DF53128-4C58-4D80-9867-B72472156092}" uniqueName="14" name="Groceries  " queryTableFieldId="14"/>
    <tableColumn id="15" xr3:uid="{6FDBF825-AD81-4AB8-A2EA-73694BA44EE7}" uniqueName="15" name="Restaurants " queryTableFieldId="15"/>
    <tableColumn id="16" xr3:uid="{8662D187-3471-48B2-B94D-992D2ED25930}" uniqueName="16" name="Purchasing Power" queryTableFieldId="16"/>
    <tableColumn id="17" xr3:uid="{1FDA246C-9AE5-4A59-8AD6-9FA43210D482}" uniqueName="17" name="Bread Price _Usd" queryTableFieldId="17"/>
    <tableColumn id="18" xr3:uid="{BFAFEE46-25FB-459D-9C42-A6F85B485A90}" uniqueName="18" name="Transport Oneway _Usd" queryTableFieldId="18"/>
    <tableColumn id="19" xr3:uid="{AE073FD2-C96C-4736-8358-88D3AC901939}" uniqueName="19" name="Transport Monthly Pass _ Usd" queryTableFieldId="19"/>
    <tableColumn id="20" xr3:uid="{863EAFBE-2825-4E8B-85E5-38C12C0B5DFA}" uniqueName="20" name="Rent Monthly_Usd" queryTableFieldId="20"/>
    <tableColumn id="21" xr3:uid="{48CED681-E3C3-45B0-B721-079FCB2407C2}" uniqueName="21" name="Utilities Monthly_Usd" queryTableFieldId="21"/>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8F855F-2217-4319-BEDC-EF18C63371DB}" name="Global_Inflation_Cost_of_Living_1" displayName="Global_Inflation_Cost_of_Living_1" ref="A1:U219" tableType="queryTable" totalsRowShown="0" headerRowDxfId="47" headerRowBorderDxfId="46" tableBorderDxfId="45" totalsRowBorderDxfId="44">
  <autoFilter ref="A1:U219" xr:uid="{A48F855F-2217-4319-BEDC-EF18C63371DB}"/>
  <sortState xmlns:xlrd2="http://schemas.microsoft.com/office/spreadsheetml/2017/richdata2" ref="A2:U219">
    <sortCondition descending="1" ref="J1:J219"/>
  </sortState>
  <tableColumns count="21">
    <tableColumn id="1" xr3:uid="{B248BAA3-A9E6-4FA9-A3B9-B9AA18BCEC38}" uniqueName="1" name="Country" queryTableFieldId="1" dataDxfId="43"/>
    <tableColumn id="2" xr3:uid="{D98BDBAA-7EF6-4E5B-B4A2-AE57C99D38C0}" uniqueName="2" name="Region" queryTableFieldId="2" dataDxfId="42"/>
    <tableColumn id="3" xr3:uid="{DA5EA098-C7E8-4E29-B460-180F6B5AFFF1}" uniqueName="3" name="income Level" queryTableFieldId="3" dataDxfId="41"/>
    <tableColumn id="4" xr3:uid="{78317ECA-8E64-429D-89F4-AFDB3D01D22E}" uniqueName="4" name="Capital City" queryTableFieldId="4" dataDxfId="40"/>
    <tableColumn id="5" xr3:uid="{2383BF03-B447-464A-82AD-20B59BA55E93}" uniqueName="5" name="Latitude" queryTableFieldId="5" dataDxfId="39"/>
    <tableColumn id="6" xr3:uid="{C6DB65B6-7165-4FC6-821C-D09FC31519FC}" uniqueName="6" name="Longitude" queryTableFieldId="6" dataDxfId="38"/>
    <tableColumn id="7" xr3:uid="{DFFAEE0F-270F-43B0-8BBD-1EF0BDF8416F}" uniqueName="7" name="Country Code" queryTableFieldId="7" dataDxfId="37"/>
    <tableColumn id="8" xr3:uid="{780A9A08-D0B3-4C0B-A025-0C819E6D774A}" uniqueName="8" name="Inflation Year" queryTableFieldId="8" dataDxfId="36"/>
    <tableColumn id="9" xr3:uid="{49DEE9DB-2076-4F16-AE6C-9F7353DE84F7}" uniqueName="9" name="Inflation Rate" queryTableFieldId="9" dataDxfId="35"/>
    <tableColumn id="10" xr3:uid="{A54F6D2C-F482-4830-8A55-9C6B9E4D9CF3}" uniqueName="10" name="Cost of Living Index" queryTableFieldId="10" dataDxfId="34"/>
    <tableColumn id="11" xr3:uid="{8E7D2E18-5F3F-4231-AFD0-DCC1AC8AF2D8}" uniqueName="11" name="Inflation Value Check" queryTableFieldId="11" dataDxfId="33"/>
    <tableColumn id="12" xr3:uid="{FE0CBBCE-53FA-4ADF-8E5B-31FD9EF0A30E}" uniqueName="12" name="Cost of Living Value Check" queryTableFieldId="12" dataDxfId="32"/>
    <tableColumn id="13" xr3:uid="{FE3176D3-D873-4C43-AAFF-406F0BDAE244}" uniqueName="13" name="Rent " queryTableFieldId="13" dataDxfId="31"/>
    <tableColumn id="14" xr3:uid="{C9386ECA-1FD8-47AA-B2DE-161DCDF57912}" uniqueName="14" name="Groceries  " queryTableFieldId="14" dataDxfId="30"/>
    <tableColumn id="15" xr3:uid="{C7E24751-6111-4DAB-BEE8-697DE2E8AA76}" uniqueName="15" name="Restaurants " queryTableFieldId="15" dataDxfId="29"/>
    <tableColumn id="16" xr3:uid="{421BCA51-29A3-439E-B048-6171E46FE58D}" uniqueName="16" name="Purchasing Power" queryTableFieldId="16" dataDxfId="28"/>
    <tableColumn id="17" xr3:uid="{EA05CC6F-2C63-4C6F-81E9-F701FCC29A16}" uniqueName="17" name="Bread Price _Usd" queryTableFieldId="17" dataDxfId="27"/>
    <tableColumn id="18" xr3:uid="{7D947D43-746C-4970-B1C4-EA6F60BA3BC9}" uniqueName="18" name="Transport Oneway _Usd" queryTableFieldId="18" dataDxfId="26"/>
    <tableColumn id="19" xr3:uid="{BDB1540C-0A0F-4ED5-8BD8-205D94712BA6}" uniqueName="19" name="Transport Monthly Pass _ Usd" queryTableFieldId="19" dataDxfId="25"/>
    <tableColumn id="20" xr3:uid="{722EEA4D-7C29-4675-AC6E-7F34D648938D}" uniqueName="20" name="Rent Monthly_Usd" queryTableFieldId="20" dataDxfId="24"/>
    <tableColumn id="21" xr3:uid="{E98A4C9F-A827-4B27-9C7C-8A52D49C8183}" uniqueName="21" name="Utilities Monthly_Usd" queryTableFieldId="21" dataDxf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83E17A-DAE6-457D-8AD0-28A0F2F0E7A5}" name="Master_Data__2" displayName="Master_Data__2" ref="A1:S218" totalsRowShown="0" headerRowDxfId="22" headerRowBorderDxfId="21" tableBorderDxfId="20" totalsRowBorderDxfId="19">
  <autoFilter ref="A1:S218" xr:uid="{1D83E17A-DAE6-457D-8AD0-28A0F2F0E7A5}">
    <filterColumn colId="8">
      <customFilters>
        <customFilter operator="notEqual" val=" "/>
      </customFilters>
    </filterColumn>
    <filterColumn colId="9">
      <customFilters>
        <customFilter operator="notEqual" val=" "/>
      </customFilters>
    </filterColumn>
  </autoFilter>
  <tableColumns count="19">
    <tableColumn id="1" xr3:uid="{F530223D-F592-4BD5-BDEB-7DBE388AA3CF}" name="country" dataDxfId="18"/>
    <tableColumn id="2" xr3:uid="{5AEAB0A8-07BE-49D0-8A80-776C4D8F22AE}" name="region" dataDxfId="17"/>
    <tableColumn id="3" xr3:uid="{059134E5-6111-4585-8473-80F756115BE7}" name="income_level" dataDxfId="16"/>
    <tableColumn id="4" xr3:uid="{8FBA852B-6716-43D6-8FF3-5BF89D39139A}" name="capital_city" dataDxfId="15"/>
    <tableColumn id="5" xr3:uid="{3CE944EA-0462-4783-B43C-5CA02311D781}" name="latitude" dataDxfId="14"/>
    <tableColumn id="6" xr3:uid="{30956016-5AD7-4CD0-835E-127C38B43A79}" name="longitude" dataDxfId="13"/>
    <tableColumn id="7" xr3:uid="{267D9F23-7A3C-4CF6-9DBB-125613FD4F5A}" name="country code" dataDxfId="12"/>
    <tableColumn id="8" xr3:uid="{517B254D-4C42-409D-8591-88D2868078AC}" name="inflation_year" dataDxfId="11"/>
    <tableColumn id="9" xr3:uid="{A6BC026D-BA8E-4D0C-96B1-48EC98846942}" name="inflation_annual_pct" dataDxfId="10"/>
    <tableColumn id="10" xr3:uid="{906B8C61-BBE6-41EB-803A-0ECBC5FDF028}" name="cost_living_index" dataDxfId="9"/>
    <tableColumn id="11" xr3:uid="{0E609284-DCC3-4F31-8FA2-E017BF0A7392}" name="rent_index" dataDxfId="8"/>
    <tableColumn id="12" xr3:uid="{764949A8-A4E6-4BBB-8FAE-EE7E752530E6}" name="groceries_index" dataDxfId="7"/>
    <tableColumn id="13" xr3:uid="{77082B74-D66C-4BB7-8D7F-4F19E9E09634}" name="restaurants_index" dataDxfId="6"/>
    <tableColumn id="14" xr3:uid="{07CEDD41-2C5D-46DA-83BF-5CF52111FD57}" name="purchasing_power_index" dataDxfId="5"/>
    <tableColumn id="15" xr3:uid="{20CA0362-3B9B-49B9-92B4-CBA552454027}" name="bread_price_usd" dataDxfId="4"/>
    <tableColumn id="16" xr3:uid="{E584325C-0D47-4B96-A109-C8A307391172}" name="transport_oneway_usd" dataDxfId="3"/>
    <tableColumn id="17" xr3:uid="{4B0FF275-FA79-48D7-8045-32AF47D414FB}" name="transport_monthly_pass_usd" dataDxfId="2"/>
    <tableColumn id="18" xr3:uid="{E5A1F50F-20C5-4F6C-8C2F-C12F878919D3}" name="rent_monthly_usd" dataDxfId="1"/>
    <tableColumn id="19" xr3:uid="{5C0CE445-5A94-4610-BB11-B888EBDF10F1}" name="utilities_monthly_usd"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4189-3CDA-415A-85B5-51E0488E64A6}">
  <dimension ref="A1:W439"/>
  <sheetViews>
    <sheetView topLeftCell="E1" workbookViewId="0">
      <selection activeCell="J8" sqref="J8"/>
    </sheetView>
  </sheetViews>
  <sheetFormatPr defaultRowHeight="14.5" x14ac:dyDescent="0.35"/>
  <cols>
    <col min="1" max="1" width="22.1796875" customWidth="1"/>
    <col min="2" max="2" width="14" customWidth="1"/>
    <col min="3" max="3" width="20.81640625" customWidth="1"/>
    <col min="4" max="4" width="13.7265625" customWidth="1"/>
    <col min="5" max="5" width="19.6328125" customWidth="1"/>
    <col min="6" max="6" width="14.453125" customWidth="1"/>
    <col min="7" max="7" width="14.1796875" customWidth="1"/>
    <col min="8" max="8" width="14.08984375" customWidth="1"/>
    <col min="9" max="9" width="14.26953125" customWidth="1"/>
    <col min="10" max="14" width="13.7265625" customWidth="1"/>
    <col min="15" max="15" width="15.90625" customWidth="1"/>
    <col min="16" max="16" width="15.08984375" customWidth="1"/>
    <col min="17" max="17" width="16.453125" customWidth="1"/>
    <col min="18" max="18" width="18.453125" customWidth="1"/>
    <col min="19" max="19" width="17.08984375" customWidth="1"/>
    <col min="20" max="20" width="23.81640625" customWidth="1"/>
    <col min="21" max="21" width="16" customWidth="1"/>
    <col min="22" max="22" width="15.7265625" customWidth="1"/>
    <col min="23" max="23" width="15.81640625" customWidth="1"/>
  </cols>
  <sheetData>
    <row r="1" spans="1:23" x14ac:dyDescent="0.35">
      <c r="A1" s="1" t="s">
        <v>1037</v>
      </c>
      <c r="B1" s="1" t="s">
        <v>1038</v>
      </c>
      <c r="C1" s="1" t="s">
        <v>1039</v>
      </c>
      <c r="D1" s="1" t="s">
        <v>1040</v>
      </c>
      <c r="E1" s="1" t="s">
        <v>1041</v>
      </c>
      <c r="F1" s="1" t="s">
        <v>1042</v>
      </c>
      <c r="G1" s="1" t="s">
        <v>1036</v>
      </c>
      <c r="H1" s="1" t="s">
        <v>1043</v>
      </c>
      <c r="I1" s="1" t="s">
        <v>1044</v>
      </c>
      <c r="J1" s="1" t="s">
        <v>1046</v>
      </c>
      <c r="K1" s="1" t="s">
        <v>1091</v>
      </c>
      <c r="L1" s="1" t="s">
        <v>1057</v>
      </c>
      <c r="M1" s="1" t="s">
        <v>1089</v>
      </c>
      <c r="N1" s="1" t="s">
        <v>1090</v>
      </c>
      <c r="O1" s="1" t="s">
        <v>1047</v>
      </c>
      <c r="P1" s="1" t="s">
        <v>1048</v>
      </c>
      <c r="Q1" s="1" t="s">
        <v>1045</v>
      </c>
      <c r="R1" s="1" t="s">
        <v>1049</v>
      </c>
      <c r="S1" s="1" t="s">
        <v>1052</v>
      </c>
      <c r="T1" s="1" t="s">
        <v>1051</v>
      </c>
      <c r="U1" s="1" t="s">
        <v>1050</v>
      </c>
      <c r="V1" s="1" t="s">
        <v>1053</v>
      </c>
      <c r="W1" s="1" t="s">
        <v>1054</v>
      </c>
    </row>
    <row r="2" spans="1:23" x14ac:dyDescent="0.35">
      <c r="A2" s="2" t="s">
        <v>234</v>
      </c>
      <c r="B2" s="2" t="s">
        <v>2</v>
      </c>
      <c r="C2" s="2" t="s">
        <v>3</v>
      </c>
      <c r="D2" s="2" t="s">
        <v>235</v>
      </c>
      <c r="E2" s="2" t="s">
        <v>236</v>
      </c>
      <c r="F2" s="2" t="s">
        <v>237</v>
      </c>
      <c r="G2" s="2"/>
      <c r="H2" s="2"/>
      <c r="I2" s="2"/>
      <c r="J2" s="2">
        <v>94.3</v>
      </c>
      <c r="K2" s="2">
        <f>IFERROR(VALUE(Table145[[#This Row],[Inflation Annual Pct]])," ")</f>
        <v>0</v>
      </c>
      <c r="L2" s="2">
        <f>IFERROR(VALUE(Table145[[#This Row],[Cost of Living ]])," ")</f>
        <v>94.3</v>
      </c>
      <c r="M2" s="2" t="b">
        <f>ISNUMBER(Table145[[#This Row],[Inflation Rate]])</f>
        <v>1</v>
      </c>
      <c r="N2" s="2" t="b">
        <f>ISNUMBER(Table145[[#This Row],[Cost of Living]])</f>
        <v>1</v>
      </c>
      <c r="O2" s="2">
        <v>60.2</v>
      </c>
      <c r="P2" s="2">
        <v>85.6</v>
      </c>
      <c r="Q2" s="2">
        <v>92.1</v>
      </c>
      <c r="R2" s="2">
        <v>115.8</v>
      </c>
      <c r="S2" s="2">
        <v>6.36</v>
      </c>
      <c r="T2" s="2"/>
      <c r="U2" s="2"/>
      <c r="V2" s="2">
        <v>2500</v>
      </c>
      <c r="W2" s="2"/>
    </row>
    <row r="3" spans="1:23" x14ac:dyDescent="0.35">
      <c r="A3" s="2" t="s">
        <v>173</v>
      </c>
      <c r="B3" s="2" t="s">
        <v>22</v>
      </c>
      <c r="C3" s="2" t="s">
        <v>3</v>
      </c>
      <c r="D3" s="2" t="s">
        <v>174</v>
      </c>
      <c r="E3" s="2" t="s">
        <v>175</v>
      </c>
      <c r="F3" s="2" t="s">
        <v>176</v>
      </c>
      <c r="G3" s="2" t="s">
        <v>177</v>
      </c>
      <c r="H3" s="2">
        <v>2024</v>
      </c>
      <c r="I3" s="2">
        <v>1.0623404197659501</v>
      </c>
      <c r="J3" s="2">
        <v>82.3</v>
      </c>
      <c r="K3" s="2">
        <f>IFERROR(VALUE(Table145[[#This Row],[Inflation Annual Pct]])," ")</f>
        <v>1.0623404197659501</v>
      </c>
      <c r="L3" s="2">
        <f>IFERROR(VALUE(Table145[[#This Row],[Cost of Living ]])," ")</f>
        <v>82.3</v>
      </c>
      <c r="M3" s="2" t="b">
        <f>ISNUMBER(Table145[[#This Row],[Inflation Rate]])</f>
        <v>1</v>
      </c>
      <c r="N3" s="2" t="b">
        <f>ISNUMBER(Table145[[#This Row],[Cost of Living]])</f>
        <v>1</v>
      </c>
      <c r="O3" s="2">
        <v>50.1</v>
      </c>
      <c r="P3" s="2">
        <v>75.2</v>
      </c>
      <c r="Q3" s="2">
        <v>88.4</v>
      </c>
      <c r="R3" s="2">
        <v>120.5</v>
      </c>
      <c r="S3" s="2">
        <v>3.81</v>
      </c>
      <c r="T3" s="2">
        <v>6.36</v>
      </c>
      <c r="U3" s="2">
        <v>149.69999999999999</v>
      </c>
      <c r="V3" s="2">
        <v>1850</v>
      </c>
      <c r="W3" s="2">
        <v>220</v>
      </c>
    </row>
    <row r="4" spans="1:23" x14ac:dyDescent="0.35">
      <c r="A4" s="2" t="s">
        <v>817</v>
      </c>
      <c r="B4" s="2" t="s">
        <v>48</v>
      </c>
      <c r="C4" s="2" t="s">
        <v>3</v>
      </c>
      <c r="D4" s="2" t="s">
        <v>817</v>
      </c>
      <c r="E4" s="2" t="s">
        <v>818</v>
      </c>
      <c r="F4" s="2" t="s">
        <v>819</v>
      </c>
      <c r="G4" s="2" t="s">
        <v>820</v>
      </c>
      <c r="H4" s="2">
        <v>2024</v>
      </c>
      <c r="I4" s="2">
        <v>2.3895112359501698</v>
      </c>
      <c r="J4" s="2">
        <v>80.900000000000006</v>
      </c>
      <c r="K4" s="2">
        <f>IFERROR(VALUE(Table145[[#This Row],[Inflation Annual Pct]])," ")</f>
        <v>2.3895112359501698</v>
      </c>
      <c r="L4" s="2">
        <f>IFERROR(VALUE(Table145[[#This Row],[Cost of Living ]])," ")</f>
        <v>80.900000000000006</v>
      </c>
      <c r="M4" s="2" t="b">
        <f>ISNUMBER(Table145[[#This Row],[Inflation Rate]])</f>
        <v>1</v>
      </c>
      <c r="N4" s="2" t="b">
        <f>ISNUMBER(Table145[[#This Row],[Cost of Living]])</f>
        <v>1</v>
      </c>
      <c r="O4" s="2">
        <v>55.3</v>
      </c>
      <c r="P4" s="2">
        <v>70.099999999999994</v>
      </c>
      <c r="Q4" s="2">
        <v>72.8</v>
      </c>
      <c r="R4" s="2">
        <v>95.2</v>
      </c>
      <c r="S4" s="2">
        <v>3.05</v>
      </c>
      <c r="T4" s="2"/>
      <c r="U4" s="2"/>
      <c r="V4" s="2">
        <v>3167</v>
      </c>
      <c r="W4" s="2">
        <v>180</v>
      </c>
    </row>
    <row r="5" spans="1:23" x14ac:dyDescent="0.35">
      <c r="A5" s="2" t="s">
        <v>452</v>
      </c>
      <c r="B5" s="2" t="s">
        <v>22</v>
      </c>
      <c r="C5" s="2" t="s">
        <v>3</v>
      </c>
      <c r="D5" s="2" t="s">
        <v>453</v>
      </c>
      <c r="E5" s="2" t="s">
        <v>454</v>
      </c>
      <c r="F5" s="2" t="s">
        <v>455</v>
      </c>
      <c r="G5" s="2" t="s">
        <v>456</v>
      </c>
      <c r="H5" s="2">
        <v>2024</v>
      </c>
      <c r="I5" s="2">
        <v>5.8568384997007197</v>
      </c>
      <c r="J5" s="2">
        <v>78.2</v>
      </c>
      <c r="K5" s="2">
        <f>IFERROR(VALUE(Table145[[#This Row],[Inflation Annual Pct]])," ")</f>
        <v>5.8568384997007197</v>
      </c>
      <c r="L5" s="2">
        <f>IFERROR(VALUE(Table145[[#This Row],[Cost of Living ]])," ")</f>
        <v>78.2</v>
      </c>
      <c r="M5" s="2" t="b">
        <f>ISNUMBER(Table145[[#This Row],[Inflation Rate]])</f>
        <v>1</v>
      </c>
      <c r="N5" s="2" t="b">
        <f>ISNUMBER(Table145[[#This Row],[Cost of Living]])</f>
        <v>1</v>
      </c>
      <c r="O5" s="2">
        <v>45.6</v>
      </c>
      <c r="P5" s="2">
        <v>72.3</v>
      </c>
      <c r="Q5" s="2">
        <v>82.1</v>
      </c>
      <c r="R5" s="2">
        <v>98.7</v>
      </c>
      <c r="S5" s="2">
        <v>4.26</v>
      </c>
      <c r="T5" s="2">
        <v>7.94</v>
      </c>
      <c r="U5" s="2">
        <v>131.85</v>
      </c>
      <c r="V5" s="2"/>
      <c r="W5" s="2"/>
    </row>
    <row r="6" spans="1:23" x14ac:dyDescent="0.35">
      <c r="A6" s="2" t="s">
        <v>143</v>
      </c>
      <c r="B6" s="2" t="s">
        <v>2</v>
      </c>
      <c r="C6" s="2" t="s">
        <v>3</v>
      </c>
      <c r="D6" s="2" t="s">
        <v>144</v>
      </c>
      <c r="E6" s="2" t="s">
        <v>145</v>
      </c>
      <c r="F6" s="2" t="s">
        <v>146</v>
      </c>
      <c r="G6" s="2" t="s">
        <v>147</v>
      </c>
      <c r="H6" s="2">
        <v>2024</v>
      </c>
      <c r="I6" s="2">
        <v>1.4464366430616</v>
      </c>
      <c r="J6" s="2">
        <v>75.2</v>
      </c>
      <c r="K6" s="2">
        <f>IFERROR(VALUE(Table145[[#This Row],[Inflation Annual Pct]])," ")</f>
        <v>1.4464366430616</v>
      </c>
      <c r="L6" s="2">
        <f>IFERROR(VALUE(Table145[[#This Row],[Cost of Living ]])," ")</f>
        <v>75.2</v>
      </c>
      <c r="M6" s="2" t="b">
        <f>ISNUMBER(Table145[[#This Row],[Inflation Rate]])</f>
        <v>1</v>
      </c>
      <c r="N6" s="2" t="b">
        <f>ISNUMBER(Table145[[#This Row],[Cost of Living]])</f>
        <v>1</v>
      </c>
      <c r="O6" s="2">
        <v>41.8</v>
      </c>
      <c r="P6" s="2">
        <v>70.8</v>
      </c>
      <c r="Q6" s="2">
        <v>73.2</v>
      </c>
      <c r="R6" s="2">
        <v>88.5</v>
      </c>
      <c r="S6" s="2"/>
      <c r="T6" s="2"/>
      <c r="U6" s="2"/>
      <c r="V6" s="2">
        <v>1200</v>
      </c>
      <c r="W6" s="2"/>
    </row>
    <row r="7" spans="1:23" x14ac:dyDescent="0.35">
      <c r="A7" s="2" t="s">
        <v>970</v>
      </c>
      <c r="B7" s="2" t="s">
        <v>129</v>
      </c>
      <c r="C7" s="2" t="s">
        <v>3</v>
      </c>
      <c r="D7" s="2" t="s">
        <v>971</v>
      </c>
      <c r="E7" s="2" t="s">
        <v>972</v>
      </c>
      <c r="F7" s="2" t="s">
        <v>973</v>
      </c>
      <c r="G7" s="2" t="s">
        <v>974</v>
      </c>
      <c r="H7" s="2">
        <v>2024</v>
      </c>
      <c r="I7" s="2">
        <v>2.9495252048520699</v>
      </c>
      <c r="J7" s="2">
        <v>74.3</v>
      </c>
      <c r="K7" s="2">
        <f>IFERROR(VALUE(Table145[[#This Row],[Inflation Annual Pct]])," ")</f>
        <v>2.9495252048520699</v>
      </c>
      <c r="L7" s="2">
        <f>IFERROR(VALUE(Table145[[#This Row],[Cost of Living ]])," ")</f>
        <v>74.3</v>
      </c>
      <c r="M7" s="2" t="b">
        <f>ISNUMBER(Table145[[#This Row],[Inflation Rate]])</f>
        <v>1</v>
      </c>
      <c r="N7" s="2" t="b">
        <f>ISNUMBER(Table145[[#This Row],[Cost of Living]])</f>
        <v>1</v>
      </c>
      <c r="O7" s="2">
        <v>35.200000000000003</v>
      </c>
      <c r="P7" s="2">
        <v>68.5</v>
      </c>
      <c r="Q7" s="2">
        <v>70.2</v>
      </c>
      <c r="R7" s="2">
        <v>100</v>
      </c>
      <c r="S7" s="2">
        <v>3.65</v>
      </c>
      <c r="T7" s="2"/>
      <c r="U7" s="2"/>
      <c r="V7" s="2">
        <v>1603</v>
      </c>
      <c r="W7" s="2">
        <v>150</v>
      </c>
    </row>
    <row r="8" spans="1:23" x14ac:dyDescent="0.35">
      <c r="A8" s="2" t="s">
        <v>699</v>
      </c>
      <c r="B8" s="2" t="s">
        <v>22</v>
      </c>
      <c r="C8" s="2" t="s">
        <v>3</v>
      </c>
      <c r="D8" s="2" t="s">
        <v>700</v>
      </c>
      <c r="E8" s="2" t="s">
        <v>701</v>
      </c>
      <c r="F8" s="2" t="s">
        <v>702</v>
      </c>
      <c r="G8" s="2" t="s">
        <v>703</v>
      </c>
      <c r="H8" s="2">
        <v>2024</v>
      </c>
      <c r="I8" s="2">
        <v>3.14530134431081</v>
      </c>
      <c r="J8" s="2">
        <v>73.8</v>
      </c>
      <c r="K8" s="2">
        <f>IFERROR(VALUE(Table145[[#This Row],[Inflation Annual Pct]])," ")</f>
        <v>3.14530134431081</v>
      </c>
      <c r="L8" s="2">
        <f>IFERROR(VALUE(Table145[[#This Row],[Cost of Living ]])," ")</f>
        <v>73.8</v>
      </c>
      <c r="M8" s="2" t="b">
        <f>ISNUMBER(Table145[[#This Row],[Inflation Rate]])</f>
        <v>1</v>
      </c>
      <c r="N8" s="2" t="b">
        <f>ISNUMBER(Table145[[#This Row],[Cost of Living]])</f>
        <v>1</v>
      </c>
      <c r="O8" s="2">
        <v>38.9</v>
      </c>
      <c r="P8" s="2">
        <v>69.8</v>
      </c>
      <c r="Q8" s="2">
        <v>78.5</v>
      </c>
      <c r="R8" s="2">
        <v>105.3</v>
      </c>
      <c r="S8" s="2">
        <v>3.52</v>
      </c>
      <c r="T8" s="2">
        <v>6.54</v>
      </c>
      <c r="U8" s="2">
        <v>145.19999999999999</v>
      </c>
      <c r="V8" s="2"/>
      <c r="W8" s="2"/>
    </row>
    <row r="9" spans="1:23" x14ac:dyDescent="0.35">
      <c r="A9" s="2" t="s">
        <v>32</v>
      </c>
      <c r="B9" s="2" t="s">
        <v>8</v>
      </c>
      <c r="C9" s="2" t="s">
        <v>3</v>
      </c>
      <c r="D9" s="2" t="s">
        <v>33</v>
      </c>
      <c r="E9" s="2" t="s">
        <v>34</v>
      </c>
      <c r="F9" s="2" t="s">
        <v>35</v>
      </c>
      <c r="G9" s="2" t="s">
        <v>36</v>
      </c>
      <c r="H9" s="2">
        <v>2024</v>
      </c>
      <c r="I9" s="2">
        <v>1.66336510224894</v>
      </c>
      <c r="J9" s="2">
        <v>72.400000000000006</v>
      </c>
      <c r="K9" s="2">
        <f>IFERROR(VALUE(Table145[[#This Row],[Inflation Annual Pct]])," ")</f>
        <v>1.66336510224894</v>
      </c>
      <c r="L9" s="2">
        <f>IFERROR(VALUE(Table145[[#This Row],[Cost of Living ]])," ")</f>
        <v>72.400000000000006</v>
      </c>
      <c r="M9" s="2" t="b">
        <f>ISNUMBER(Table145[[#This Row],[Inflation Rate]])</f>
        <v>1</v>
      </c>
      <c r="N9" s="2" t="b">
        <f>ISNUMBER(Table145[[#This Row],[Cost of Living]])</f>
        <v>1</v>
      </c>
      <c r="O9" s="2">
        <v>34.200000000000003</v>
      </c>
      <c r="P9" s="2">
        <v>68.5</v>
      </c>
      <c r="Q9" s="2">
        <v>70.8</v>
      </c>
      <c r="R9" s="2">
        <v>96.2</v>
      </c>
      <c r="S9" s="2"/>
      <c r="T9" s="2"/>
      <c r="U9" s="2"/>
      <c r="V9" s="2">
        <v>1100</v>
      </c>
      <c r="W9" s="2"/>
    </row>
    <row r="10" spans="1:23" x14ac:dyDescent="0.35">
      <c r="A10" s="2" t="s">
        <v>262</v>
      </c>
      <c r="B10" s="2" t="s">
        <v>22</v>
      </c>
      <c r="C10" s="2" t="s">
        <v>3</v>
      </c>
      <c r="D10" s="2" t="s">
        <v>263</v>
      </c>
      <c r="E10" s="2" t="s">
        <v>264</v>
      </c>
      <c r="F10" s="2" t="s">
        <v>265</v>
      </c>
      <c r="G10" s="2" t="s">
        <v>266</v>
      </c>
      <c r="H10" s="2">
        <v>2024</v>
      </c>
      <c r="I10" s="2">
        <v>1.3722004976892599</v>
      </c>
      <c r="J10" s="2">
        <v>72.099999999999994</v>
      </c>
      <c r="K10" s="2">
        <f>IFERROR(VALUE(Table145[[#This Row],[Inflation Annual Pct]])," ")</f>
        <v>1.3722004976892599</v>
      </c>
      <c r="L10" s="2">
        <f>IFERROR(VALUE(Table145[[#This Row],[Cost of Living ]])," ")</f>
        <v>72.099999999999994</v>
      </c>
      <c r="M10" s="2" t="b">
        <f>ISNUMBER(Table145[[#This Row],[Inflation Rate]])</f>
        <v>1</v>
      </c>
      <c r="N10" s="2" t="b">
        <f>ISNUMBER(Table145[[#This Row],[Cost of Living]])</f>
        <v>1</v>
      </c>
      <c r="O10" s="2">
        <v>36.4</v>
      </c>
      <c r="P10" s="2">
        <v>67.2</v>
      </c>
      <c r="Q10" s="2">
        <v>75.3</v>
      </c>
      <c r="R10" s="2">
        <v>102.8</v>
      </c>
      <c r="S10" s="2">
        <v>3.48</v>
      </c>
      <c r="T10" s="2">
        <v>5.42</v>
      </c>
      <c r="U10" s="2">
        <v>128.5</v>
      </c>
      <c r="V10" s="2"/>
      <c r="W10" s="2"/>
    </row>
    <row r="11" spans="1:23" x14ac:dyDescent="0.35">
      <c r="A11" s="2" t="s">
        <v>782</v>
      </c>
      <c r="B11" s="2" t="s">
        <v>8</v>
      </c>
      <c r="C11" s="2" t="s">
        <v>3</v>
      </c>
      <c r="D11" s="2" t="s">
        <v>783</v>
      </c>
      <c r="E11" s="2" t="s">
        <v>784</v>
      </c>
      <c r="F11" s="2" t="s">
        <v>785</v>
      </c>
      <c r="G11" s="2" t="s">
        <v>786</v>
      </c>
      <c r="H11" s="2">
        <v>2024</v>
      </c>
      <c r="I11" s="2">
        <v>1.2673431029237501</v>
      </c>
      <c r="J11" s="2">
        <v>70.8</v>
      </c>
      <c r="K11" s="2">
        <f>IFERROR(VALUE(Table145[[#This Row],[Inflation Annual Pct]])," ")</f>
        <v>1.2673431029237501</v>
      </c>
      <c r="L11" s="2">
        <f>IFERROR(VALUE(Table145[[#This Row],[Cost of Living ]])," ")</f>
        <v>70.8</v>
      </c>
      <c r="M11" s="2" t="b">
        <f>ISNUMBER(Table145[[#This Row],[Inflation Rate]])</f>
        <v>1</v>
      </c>
      <c r="N11" s="2" t="b">
        <f>ISNUMBER(Table145[[#This Row],[Cost of Living]])</f>
        <v>1</v>
      </c>
      <c r="O11" s="2">
        <v>31.5</v>
      </c>
      <c r="P11" s="2">
        <v>66.2</v>
      </c>
      <c r="Q11" s="2">
        <v>68.5</v>
      </c>
      <c r="R11" s="2">
        <v>92.8</v>
      </c>
      <c r="S11" s="2"/>
      <c r="T11" s="2"/>
      <c r="U11" s="2"/>
      <c r="V11" s="2">
        <v>900</v>
      </c>
      <c r="W11" s="2"/>
    </row>
    <row r="12" spans="1:23" x14ac:dyDescent="0.35">
      <c r="A12" s="2" t="s">
        <v>57</v>
      </c>
      <c r="B12" s="2" t="s">
        <v>48</v>
      </c>
      <c r="C12" s="2" t="s">
        <v>3</v>
      </c>
      <c r="D12" s="2" t="s">
        <v>58</v>
      </c>
      <c r="E12" s="2" t="s">
        <v>59</v>
      </c>
      <c r="F12" s="2" t="s">
        <v>60</v>
      </c>
      <c r="G12" s="2" t="s">
        <v>61</v>
      </c>
      <c r="H12" s="2">
        <v>2024</v>
      </c>
      <c r="I12" s="2">
        <v>3.16656665428797</v>
      </c>
      <c r="J12" s="2">
        <v>69.5</v>
      </c>
      <c r="K12" s="2">
        <f>IFERROR(VALUE(Table145[[#This Row],[Inflation Annual Pct]])," ")</f>
        <v>3.16656665428797</v>
      </c>
      <c r="L12" s="2">
        <f>IFERROR(VALUE(Table145[[#This Row],[Cost of Living ]])," ")</f>
        <v>69.5</v>
      </c>
      <c r="M12" s="2" t="b">
        <f>ISNUMBER(Table145[[#This Row],[Inflation Rate]])</f>
        <v>1</v>
      </c>
      <c r="N12" s="2" t="b">
        <f>ISNUMBER(Table145[[#This Row],[Cost of Living]])</f>
        <v>1</v>
      </c>
      <c r="O12" s="2">
        <v>32.799999999999997</v>
      </c>
      <c r="P12" s="2">
        <v>65.400000000000006</v>
      </c>
      <c r="Q12" s="2">
        <v>68.900000000000006</v>
      </c>
      <c r="R12" s="2">
        <v>95.6</v>
      </c>
      <c r="S12" s="2">
        <v>3.25</v>
      </c>
      <c r="T12" s="2"/>
      <c r="U12" s="2"/>
      <c r="V12" s="2">
        <v>1450</v>
      </c>
      <c r="W12" s="2">
        <v>140</v>
      </c>
    </row>
    <row r="13" spans="1:23" x14ac:dyDescent="0.35">
      <c r="A13" s="2" t="s">
        <v>437</v>
      </c>
      <c r="B13" s="2" t="s">
        <v>22</v>
      </c>
      <c r="C13" s="2" t="s">
        <v>3</v>
      </c>
      <c r="D13" s="2" t="s">
        <v>438</v>
      </c>
      <c r="E13" s="2" t="s">
        <v>439</v>
      </c>
      <c r="F13" s="2" t="s">
        <v>440</v>
      </c>
      <c r="G13" s="2" t="s">
        <v>441</v>
      </c>
      <c r="H13" s="2">
        <v>2024</v>
      </c>
      <c r="I13" s="2">
        <v>2.1134499957731698</v>
      </c>
      <c r="J13" s="2">
        <v>68.900000000000006</v>
      </c>
      <c r="K13" s="2">
        <f>IFERROR(VALUE(Table145[[#This Row],[Inflation Annual Pct]])," ")</f>
        <v>2.1134499957731698</v>
      </c>
      <c r="L13" s="2">
        <f>IFERROR(VALUE(Table145[[#This Row],[Cost of Living ]])," ")</f>
        <v>68.900000000000006</v>
      </c>
      <c r="M13" s="2" t="b">
        <f>ISNUMBER(Table145[[#This Row],[Inflation Rate]])</f>
        <v>1</v>
      </c>
      <c r="N13" s="2" t="b">
        <f>ISNUMBER(Table145[[#This Row],[Cost of Living]])</f>
        <v>1</v>
      </c>
      <c r="O13" s="2">
        <v>40.200000000000003</v>
      </c>
      <c r="P13" s="2">
        <v>64.7</v>
      </c>
      <c r="Q13" s="2">
        <v>70.099999999999994</v>
      </c>
      <c r="R13" s="2">
        <v>92.4</v>
      </c>
      <c r="S13" s="2"/>
      <c r="T13" s="2"/>
      <c r="U13" s="2"/>
      <c r="V13" s="2"/>
      <c r="W13" s="2"/>
    </row>
    <row r="14" spans="1:23" x14ac:dyDescent="0.35">
      <c r="A14" s="2" t="s">
        <v>802</v>
      </c>
      <c r="B14" s="2" t="s">
        <v>8</v>
      </c>
      <c r="C14" s="2" t="s">
        <v>3</v>
      </c>
      <c r="D14" s="2" t="s">
        <v>803</v>
      </c>
      <c r="E14" s="2" t="s">
        <v>804</v>
      </c>
      <c r="F14" s="2" t="s">
        <v>805</v>
      </c>
      <c r="G14" s="2" t="s">
        <v>806</v>
      </c>
      <c r="H14" s="2">
        <v>2024</v>
      </c>
      <c r="I14" s="2">
        <v>1.68792112375809</v>
      </c>
      <c r="J14" s="2">
        <v>68.2</v>
      </c>
      <c r="K14" s="2">
        <f>IFERROR(VALUE(Table145[[#This Row],[Inflation Annual Pct]])," ")</f>
        <v>1.68792112375809</v>
      </c>
      <c r="L14" s="2">
        <f>IFERROR(VALUE(Table145[[#This Row],[Cost of Living ]])," ")</f>
        <v>68.2</v>
      </c>
      <c r="M14" s="2" t="b">
        <f>ISNUMBER(Table145[[#This Row],[Inflation Rate]])</f>
        <v>1</v>
      </c>
      <c r="N14" s="2" t="b">
        <f>ISNUMBER(Table145[[#This Row],[Cost of Living]])</f>
        <v>1</v>
      </c>
      <c r="O14" s="2">
        <v>28.4</v>
      </c>
      <c r="P14" s="2">
        <v>64.2</v>
      </c>
      <c r="Q14" s="2">
        <v>66.099999999999994</v>
      </c>
      <c r="R14" s="2">
        <v>89.4</v>
      </c>
      <c r="S14" s="2"/>
      <c r="T14" s="2"/>
      <c r="U14" s="2"/>
      <c r="V14" s="2">
        <v>750</v>
      </c>
      <c r="W14" s="2"/>
    </row>
    <row r="15" spans="1:23" x14ac:dyDescent="0.35">
      <c r="A15" s="2" t="s">
        <v>335</v>
      </c>
      <c r="B15" s="2" t="s">
        <v>22</v>
      </c>
      <c r="C15" s="2" t="s">
        <v>3</v>
      </c>
      <c r="D15" s="2" t="s">
        <v>336</v>
      </c>
      <c r="E15" s="2" t="s">
        <v>337</v>
      </c>
      <c r="F15" s="2" t="s">
        <v>338</v>
      </c>
      <c r="G15" s="2" t="s">
        <v>339</v>
      </c>
      <c r="H15" s="2">
        <v>2024</v>
      </c>
      <c r="I15" s="2">
        <v>3.2715729463591998</v>
      </c>
      <c r="J15" s="2">
        <v>67.8</v>
      </c>
      <c r="K15" s="2">
        <f>IFERROR(VALUE(Table145[[#This Row],[Inflation Annual Pct]])," ")</f>
        <v>3.2715729463591998</v>
      </c>
      <c r="L15" s="2">
        <f>IFERROR(VALUE(Table145[[#This Row],[Cost of Living ]])," ")</f>
        <v>67.8</v>
      </c>
      <c r="M15" s="2" t="b">
        <f>ISNUMBER(Table145[[#This Row],[Inflation Rate]])</f>
        <v>1</v>
      </c>
      <c r="N15" s="2" t="b">
        <f>ISNUMBER(Table145[[#This Row],[Cost of Living]])</f>
        <v>1</v>
      </c>
      <c r="O15" s="2">
        <v>30.5</v>
      </c>
      <c r="P15" s="2">
        <v>63.2</v>
      </c>
      <c r="Q15" s="2">
        <v>66.7</v>
      </c>
      <c r="R15" s="2">
        <v>90.2</v>
      </c>
      <c r="S15" s="2">
        <v>3.12</v>
      </c>
      <c r="T15" s="2">
        <v>4.4800000000000004</v>
      </c>
      <c r="U15" s="2">
        <v>105.2</v>
      </c>
      <c r="V15" s="2">
        <v>1235</v>
      </c>
      <c r="W15" s="2">
        <v>160</v>
      </c>
    </row>
    <row r="16" spans="1:23" x14ac:dyDescent="0.35">
      <c r="A16" s="2" t="s">
        <v>516</v>
      </c>
      <c r="B16" s="2" t="s">
        <v>8</v>
      </c>
      <c r="C16" s="2" t="s">
        <v>3</v>
      </c>
      <c r="D16" s="2" t="s">
        <v>517</v>
      </c>
      <c r="E16" s="2" t="s">
        <v>518</v>
      </c>
      <c r="F16" s="2" t="s">
        <v>519</v>
      </c>
      <c r="G16" s="2" t="s">
        <v>520</v>
      </c>
      <c r="H16" s="2">
        <v>2024</v>
      </c>
      <c r="I16" s="2">
        <v>2.8985507246376199</v>
      </c>
      <c r="J16" s="2">
        <v>67.5</v>
      </c>
      <c r="K16" s="2">
        <f>IFERROR(VALUE(Table145[[#This Row],[Inflation Annual Pct]])," ")</f>
        <v>2.8985507246376199</v>
      </c>
      <c r="L16" s="2">
        <f>IFERROR(VALUE(Table145[[#This Row],[Cost of Living ]])," ")</f>
        <v>67.5</v>
      </c>
      <c r="M16" s="2" t="b">
        <f>ISNUMBER(Table145[[#This Row],[Inflation Rate]])</f>
        <v>1</v>
      </c>
      <c r="N16" s="2" t="b">
        <f>ISNUMBER(Table145[[#This Row],[Cost of Living]])</f>
        <v>1</v>
      </c>
      <c r="O16" s="2">
        <v>27.8</v>
      </c>
      <c r="P16" s="2">
        <v>63.8</v>
      </c>
      <c r="Q16" s="2">
        <v>65.2</v>
      </c>
      <c r="R16" s="2">
        <v>88.2</v>
      </c>
      <c r="S16" s="2"/>
      <c r="T16" s="2"/>
      <c r="U16" s="2"/>
      <c r="V16" s="2">
        <v>680</v>
      </c>
      <c r="W16" s="2"/>
    </row>
    <row r="17" spans="1:23" x14ac:dyDescent="0.35">
      <c r="A17" s="2" t="s">
        <v>713</v>
      </c>
      <c r="B17" s="2" t="s">
        <v>48</v>
      </c>
      <c r="C17" s="2" t="s">
        <v>3</v>
      </c>
      <c r="D17" s="2" t="s">
        <v>714</v>
      </c>
      <c r="E17" s="2" t="s">
        <v>715</v>
      </c>
      <c r="F17" s="2" t="s">
        <v>716</v>
      </c>
      <c r="G17" s="2" t="s">
        <v>717</v>
      </c>
      <c r="H17" s="2">
        <v>2024</v>
      </c>
      <c r="I17" s="2">
        <v>2.9227978230195699</v>
      </c>
      <c r="J17" s="2">
        <v>66.2</v>
      </c>
      <c r="K17" s="2">
        <f>IFERROR(VALUE(Table145[[#This Row],[Inflation Annual Pct]])," ")</f>
        <v>2.9227978230195699</v>
      </c>
      <c r="L17" s="2">
        <f>IFERROR(VALUE(Table145[[#This Row],[Cost of Living ]])," ")</f>
        <v>66.2</v>
      </c>
      <c r="M17" s="2" t="b">
        <f>ISNUMBER(Table145[[#This Row],[Inflation Rate]])</f>
        <v>1</v>
      </c>
      <c r="N17" s="2" t="b">
        <f>ISNUMBER(Table145[[#This Row],[Cost of Living]])</f>
        <v>1</v>
      </c>
      <c r="O17" s="2">
        <v>29.8</v>
      </c>
      <c r="P17" s="2">
        <v>62.8</v>
      </c>
      <c r="Q17" s="2">
        <v>65.3</v>
      </c>
      <c r="R17" s="2">
        <v>88.5</v>
      </c>
      <c r="S17" s="2"/>
      <c r="T17" s="2"/>
      <c r="U17" s="2"/>
      <c r="V17" s="2"/>
      <c r="W17" s="2"/>
    </row>
    <row r="18" spans="1:23" x14ac:dyDescent="0.35">
      <c r="A18" s="2" t="s">
        <v>168</v>
      </c>
      <c r="B18" s="2" t="s">
        <v>129</v>
      </c>
      <c r="C18" s="2" t="s">
        <v>3</v>
      </c>
      <c r="D18" s="2" t="s">
        <v>169</v>
      </c>
      <c r="E18" s="2" t="s">
        <v>170</v>
      </c>
      <c r="F18" s="2" t="s">
        <v>171</v>
      </c>
      <c r="G18" s="2" t="s">
        <v>172</v>
      </c>
      <c r="H18" s="2">
        <v>2024</v>
      </c>
      <c r="I18" s="2">
        <v>2.3815838328117298</v>
      </c>
      <c r="J18" s="2">
        <v>65.400000000000006</v>
      </c>
      <c r="K18" s="2">
        <f>IFERROR(VALUE(Table145[[#This Row],[Inflation Annual Pct]])," ")</f>
        <v>2.3815838328117298</v>
      </c>
      <c r="L18" s="2">
        <f>IFERROR(VALUE(Table145[[#This Row],[Cost of Living ]])," ")</f>
        <v>65.400000000000006</v>
      </c>
      <c r="M18" s="2" t="b">
        <f>ISNUMBER(Table145[[#This Row],[Inflation Rate]])</f>
        <v>1</v>
      </c>
      <c r="N18" s="2" t="b">
        <f>ISNUMBER(Table145[[#This Row],[Cost of Living]])</f>
        <v>1</v>
      </c>
      <c r="O18" s="2">
        <v>28.4</v>
      </c>
      <c r="P18" s="2">
        <v>61.5</v>
      </c>
      <c r="Q18" s="2">
        <v>64.2</v>
      </c>
      <c r="R18" s="2">
        <v>92.1</v>
      </c>
      <c r="S18" s="2">
        <v>3.18</v>
      </c>
      <c r="T18" s="2"/>
      <c r="U18" s="2"/>
      <c r="V18" s="2">
        <v>1200</v>
      </c>
      <c r="W18" s="2">
        <v>145</v>
      </c>
    </row>
    <row r="19" spans="1:23" x14ac:dyDescent="0.35">
      <c r="A19" s="2" t="s">
        <v>103</v>
      </c>
      <c r="B19" s="2" t="s">
        <v>8</v>
      </c>
      <c r="C19" s="2" t="s">
        <v>3</v>
      </c>
      <c r="D19" s="2" t="s">
        <v>104</v>
      </c>
      <c r="E19" s="2" t="s">
        <v>105</v>
      </c>
      <c r="F19" s="2" t="s">
        <v>106</v>
      </c>
      <c r="G19" s="2" t="s">
        <v>107</v>
      </c>
      <c r="H19" s="2">
        <v>2024</v>
      </c>
      <c r="I19" s="2">
        <v>0.91963545981765105</v>
      </c>
      <c r="J19" s="2">
        <v>65.2</v>
      </c>
      <c r="K19" s="2">
        <f>IFERROR(VALUE(Table145[[#This Row],[Inflation Annual Pct]])," ")</f>
        <v>0.91963545981765105</v>
      </c>
      <c r="L19" s="2">
        <f>IFERROR(VALUE(Table145[[#This Row],[Cost of Living ]])," ")</f>
        <v>65.2</v>
      </c>
      <c r="M19" s="2" t="b">
        <f>ISNUMBER(Table145[[#This Row],[Inflation Rate]])</f>
        <v>1</v>
      </c>
      <c r="N19" s="2" t="b">
        <f>ISNUMBER(Table145[[#This Row],[Cost of Living]])</f>
        <v>1</v>
      </c>
      <c r="O19" s="2">
        <v>26.1</v>
      </c>
      <c r="P19" s="2">
        <v>61.8</v>
      </c>
      <c r="Q19" s="2">
        <v>63.5</v>
      </c>
      <c r="R19" s="2">
        <v>86.2</v>
      </c>
      <c r="S19" s="2"/>
      <c r="T19" s="2"/>
      <c r="U19" s="2"/>
      <c r="V19" s="2">
        <v>600</v>
      </c>
      <c r="W19" s="2"/>
    </row>
    <row r="20" spans="1:23" x14ac:dyDescent="0.35">
      <c r="A20" s="2" t="s">
        <v>316</v>
      </c>
      <c r="B20" s="2" t="s">
        <v>22</v>
      </c>
      <c r="C20" s="2" t="s">
        <v>3</v>
      </c>
      <c r="D20" s="2" t="s">
        <v>317</v>
      </c>
      <c r="E20" s="2" t="s">
        <v>318</v>
      </c>
      <c r="F20" s="2" t="s">
        <v>319</v>
      </c>
      <c r="G20" s="2" t="s">
        <v>320</v>
      </c>
      <c r="H20" s="2">
        <v>2024</v>
      </c>
      <c r="I20" s="2">
        <v>1.9990494229146301</v>
      </c>
      <c r="J20" s="2">
        <v>64.8</v>
      </c>
      <c r="K20" s="2">
        <f>IFERROR(VALUE(Table145[[#This Row],[Inflation Annual Pct]])," ")</f>
        <v>1.9990494229146301</v>
      </c>
      <c r="L20" s="2">
        <f>IFERROR(VALUE(Table145[[#This Row],[Cost of Living ]])," ")</f>
        <v>64.8</v>
      </c>
      <c r="M20" s="2" t="b">
        <f>ISNUMBER(Table145[[#This Row],[Inflation Rate]])</f>
        <v>1</v>
      </c>
      <c r="N20" s="2" t="b">
        <f>ISNUMBER(Table145[[#This Row],[Cost of Living]])</f>
        <v>1</v>
      </c>
      <c r="O20" s="2">
        <v>27.9</v>
      </c>
      <c r="P20" s="2">
        <v>60.8</v>
      </c>
      <c r="Q20" s="2">
        <v>63.5</v>
      </c>
      <c r="R20" s="2">
        <v>89.7</v>
      </c>
      <c r="S20" s="2">
        <v>2.78</v>
      </c>
      <c r="T20" s="2">
        <v>4.62</v>
      </c>
      <c r="U20" s="2">
        <v>108.4</v>
      </c>
      <c r="V20" s="2">
        <v>738</v>
      </c>
      <c r="W20" s="2">
        <v>155</v>
      </c>
    </row>
    <row r="21" spans="1:23" x14ac:dyDescent="0.35">
      <c r="A21" s="2" t="s">
        <v>718</v>
      </c>
      <c r="B21" s="2" t="s">
        <v>8</v>
      </c>
      <c r="C21" s="2" t="s">
        <v>3</v>
      </c>
      <c r="D21" s="2" t="s">
        <v>719</v>
      </c>
      <c r="E21" s="2" t="s">
        <v>720</v>
      </c>
      <c r="F21" s="2" t="s">
        <v>721</v>
      </c>
      <c r="G21" s="2" t="s">
        <v>722</v>
      </c>
      <c r="H21" s="2">
        <v>2024</v>
      </c>
      <c r="I21" s="2">
        <v>0.59358923624846904</v>
      </c>
      <c r="J21" s="2">
        <v>64.8</v>
      </c>
      <c r="K21" s="2">
        <f>IFERROR(VALUE(Table145[[#This Row],[Inflation Annual Pct]])," ")</f>
        <v>0.59358923624846904</v>
      </c>
      <c r="L21" s="2">
        <f>IFERROR(VALUE(Table145[[#This Row],[Cost of Living ]])," ")</f>
        <v>64.8</v>
      </c>
      <c r="M21" s="2" t="b">
        <f>ISNUMBER(Table145[[#This Row],[Inflation Rate]])</f>
        <v>1</v>
      </c>
      <c r="N21" s="2" t="b">
        <f>ISNUMBER(Table145[[#This Row],[Cost of Living]])</f>
        <v>1</v>
      </c>
      <c r="O21" s="2">
        <v>25.2</v>
      </c>
      <c r="P21" s="2">
        <v>61.2</v>
      </c>
      <c r="Q21" s="2">
        <v>62.8</v>
      </c>
      <c r="R21" s="2">
        <v>85.6</v>
      </c>
      <c r="S21" s="2"/>
      <c r="T21" s="2"/>
      <c r="U21" s="2"/>
      <c r="V21" s="2">
        <v>550</v>
      </c>
      <c r="W21" s="2"/>
    </row>
    <row r="22" spans="1:23" x14ac:dyDescent="0.35">
      <c r="A22" s="2" t="s">
        <v>248</v>
      </c>
      <c r="B22" s="2" t="s">
        <v>22</v>
      </c>
      <c r="C22" s="2" t="s">
        <v>3</v>
      </c>
      <c r="D22" s="2" t="s">
        <v>249</v>
      </c>
      <c r="E22" s="2" t="s">
        <v>250</v>
      </c>
      <c r="F22" s="2" t="s">
        <v>251</v>
      </c>
      <c r="G22" s="2" t="s">
        <v>252</v>
      </c>
      <c r="H22" s="2">
        <v>2024</v>
      </c>
      <c r="I22" s="2">
        <v>2.2564981433876001</v>
      </c>
      <c r="J22" s="2">
        <v>64.099999999999994</v>
      </c>
      <c r="K22" s="2">
        <f>IFERROR(VALUE(Table145[[#This Row],[Inflation Annual Pct]])," ")</f>
        <v>2.2564981433876001</v>
      </c>
      <c r="L22" s="2">
        <f>IFERROR(VALUE(Table145[[#This Row],[Cost of Living ]])," ")</f>
        <v>64.099999999999994</v>
      </c>
      <c r="M22" s="2" t="b">
        <f>ISNUMBER(Table145[[#This Row],[Inflation Rate]])</f>
        <v>1</v>
      </c>
      <c r="N22" s="2" t="b">
        <f>ISNUMBER(Table145[[#This Row],[Cost of Living]])</f>
        <v>1</v>
      </c>
      <c r="O22" s="2">
        <v>26.5</v>
      </c>
      <c r="P22" s="2">
        <v>59.7</v>
      </c>
      <c r="Q22" s="2">
        <v>62.8</v>
      </c>
      <c r="R22" s="2">
        <v>91.3</v>
      </c>
      <c r="S22" s="2">
        <v>2.72</v>
      </c>
      <c r="T22" s="2">
        <v>4.8499999999999996</v>
      </c>
      <c r="U22" s="2">
        <v>112.3</v>
      </c>
      <c r="V22" s="2">
        <v>850</v>
      </c>
      <c r="W22" s="2">
        <v>170</v>
      </c>
    </row>
    <row r="23" spans="1:23" x14ac:dyDescent="0.35">
      <c r="A23" s="2" t="s">
        <v>476</v>
      </c>
      <c r="B23" s="2" t="s">
        <v>48</v>
      </c>
      <c r="C23" s="2" t="s">
        <v>3</v>
      </c>
      <c r="D23" s="2" t="s">
        <v>477</v>
      </c>
      <c r="E23" s="2" t="s">
        <v>478</v>
      </c>
      <c r="F23" s="2" t="s">
        <v>479</v>
      </c>
      <c r="G23" s="2" t="s">
        <v>480</v>
      </c>
      <c r="H23" s="2">
        <v>2024</v>
      </c>
      <c r="I23" s="2">
        <v>2.73853681635241</v>
      </c>
      <c r="J23" s="2">
        <v>63.2</v>
      </c>
      <c r="K23" s="2">
        <f>IFERROR(VALUE(Table145[[#This Row],[Inflation Annual Pct]])," ")</f>
        <v>2.73853681635241</v>
      </c>
      <c r="L23" s="2">
        <f>IFERROR(VALUE(Table145[[#This Row],[Cost of Living ]])," ")</f>
        <v>63.2</v>
      </c>
      <c r="M23" s="2" t="b">
        <f>ISNUMBER(Table145[[#This Row],[Inflation Rate]])</f>
        <v>1</v>
      </c>
      <c r="N23" s="2" t="b">
        <f>ISNUMBER(Table145[[#This Row],[Cost of Living]])</f>
        <v>1</v>
      </c>
      <c r="O23" s="2">
        <v>24.8</v>
      </c>
      <c r="P23" s="2">
        <v>58.9</v>
      </c>
      <c r="Q23" s="2">
        <v>61.2</v>
      </c>
      <c r="R23" s="2">
        <v>85.4</v>
      </c>
      <c r="S23" s="2">
        <v>2.85</v>
      </c>
      <c r="T23" s="2"/>
      <c r="U23" s="2"/>
      <c r="V23" s="2">
        <v>750</v>
      </c>
      <c r="W23" s="2">
        <v>130</v>
      </c>
    </row>
    <row r="24" spans="1:23" x14ac:dyDescent="0.35">
      <c r="A24" s="2" t="s">
        <v>461</v>
      </c>
      <c r="B24" s="2" t="s">
        <v>22</v>
      </c>
      <c r="C24" s="2" t="s">
        <v>3</v>
      </c>
      <c r="D24" s="2" t="s">
        <v>462</v>
      </c>
      <c r="E24" s="2" t="s">
        <v>463</v>
      </c>
      <c r="F24" s="2" t="s">
        <v>464</v>
      </c>
      <c r="G24" s="2" t="s">
        <v>465</v>
      </c>
      <c r="H24" s="2">
        <v>2024</v>
      </c>
      <c r="I24" s="2">
        <v>0.98237302306141705</v>
      </c>
      <c r="J24" s="2">
        <v>62.5</v>
      </c>
      <c r="K24" s="2">
        <f>IFERROR(VALUE(Table145[[#This Row],[Inflation Annual Pct]])," ")</f>
        <v>0.98237302306141705</v>
      </c>
      <c r="L24" s="2">
        <f>IFERROR(VALUE(Table145[[#This Row],[Cost of Living ]])," ")</f>
        <v>62.5</v>
      </c>
      <c r="M24" s="2" t="b">
        <f>ISNUMBER(Table145[[#This Row],[Inflation Rate]])</f>
        <v>1</v>
      </c>
      <c r="N24" s="2" t="b">
        <f>ISNUMBER(Table145[[#This Row],[Cost of Living]])</f>
        <v>1</v>
      </c>
      <c r="O24" s="2">
        <v>23.7</v>
      </c>
      <c r="P24" s="2">
        <v>58.2</v>
      </c>
      <c r="Q24" s="2">
        <v>60.5</v>
      </c>
      <c r="R24" s="2">
        <v>83.6</v>
      </c>
      <c r="S24" s="2">
        <v>2.65</v>
      </c>
      <c r="T24" s="2">
        <v>4.25</v>
      </c>
      <c r="U24" s="2">
        <v>98.5</v>
      </c>
      <c r="V24" s="2">
        <v>550</v>
      </c>
      <c r="W24" s="2">
        <v>110</v>
      </c>
    </row>
    <row r="25" spans="1:23" x14ac:dyDescent="0.35">
      <c r="A25" s="2" t="s">
        <v>291</v>
      </c>
      <c r="B25" s="2" t="s">
        <v>22</v>
      </c>
      <c r="C25" s="2" t="s">
        <v>3</v>
      </c>
      <c r="D25" s="2" t="s">
        <v>292</v>
      </c>
      <c r="E25" s="2" t="s">
        <v>293</v>
      </c>
      <c r="F25" s="2" t="s">
        <v>294</v>
      </c>
      <c r="G25" s="2" t="s">
        <v>295</v>
      </c>
      <c r="H25" s="2">
        <v>2024</v>
      </c>
      <c r="I25" s="2">
        <v>2.7471478866179999</v>
      </c>
      <c r="J25" s="2">
        <v>60.8</v>
      </c>
      <c r="K25" s="2">
        <f>IFERROR(VALUE(Table145[[#This Row],[Inflation Annual Pct]])," ")</f>
        <v>2.7471478866179999</v>
      </c>
      <c r="L25" s="2">
        <f>IFERROR(VALUE(Table145[[#This Row],[Cost of Living ]])," ")</f>
        <v>60.8</v>
      </c>
      <c r="M25" s="2" t="b">
        <f>ISNUMBER(Table145[[#This Row],[Inflation Rate]])</f>
        <v>1</v>
      </c>
      <c r="N25" s="2" t="b">
        <f>ISNUMBER(Table145[[#This Row],[Cost of Living]])</f>
        <v>1</v>
      </c>
      <c r="O25" s="2">
        <v>22.4</v>
      </c>
      <c r="P25" s="2">
        <v>56.8</v>
      </c>
      <c r="Q25" s="2">
        <v>58.9</v>
      </c>
      <c r="R25" s="2">
        <v>82.1</v>
      </c>
      <c r="S25" s="2">
        <v>2.58</v>
      </c>
      <c r="T25" s="2">
        <v>4.08</v>
      </c>
      <c r="U25" s="2">
        <v>92.6</v>
      </c>
      <c r="V25" s="2">
        <v>480</v>
      </c>
      <c r="W25" s="2">
        <v>95</v>
      </c>
    </row>
    <row r="26" spans="1:23" x14ac:dyDescent="0.35">
      <c r="A26" s="2" t="s">
        <v>766</v>
      </c>
      <c r="B26" s="2" t="s">
        <v>22</v>
      </c>
      <c r="C26" s="2" t="s">
        <v>3</v>
      </c>
      <c r="D26" s="2" t="s">
        <v>767</v>
      </c>
      <c r="E26" s="2" t="s">
        <v>768</v>
      </c>
      <c r="F26" s="2" t="s">
        <v>769</v>
      </c>
      <c r="G26" s="2" t="s">
        <v>770</v>
      </c>
      <c r="H26" s="2">
        <v>2024</v>
      </c>
      <c r="I26" s="2">
        <v>2.4161318779187599</v>
      </c>
      <c r="J26" s="2">
        <v>58.2</v>
      </c>
      <c r="K26" s="2">
        <f>IFERROR(VALUE(Table145[[#This Row],[Inflation Annual Pct]])," ")</f>
        <v>2.4161318779187599</v>
      </c>
      <c r="L26" s="2">
        <f>IFERROR(VALUE(Table145[[#This Row],[Cost of Living ]])," ")</f>
        <v>58.2</v>
      </c>
      <c r="M26" s="2" t="b">
        <f>ISNUMBER(Table145[[#This Row],[Inflation Rate]])</f>
        <v>1</v>
      </c>
      <c r="N26" s="2" t="b">
        <f>ISNUMBER(Table145[[#This Row],[Cost of Living]])</f>
        <v>1</v>
      </c>
      <c r="O26" s="2">
        <v>20.5</v>
      </c>
      <c r="P26" s="2">
        <v>54.7</v>
      </c>
      <c r="Q26" s="2">
        <v>56.2</v>
      </c>
      <c r="R26" s="2">
        <v>78.900000000000006</v>
      </c>
      <c r="S26" s="2">
        <v>2.4500000000000002</v>
      </c>
      <c r="T26" s="2">
        <v>3.85</v>
      </c>
      <c r="U26" s="2">
        <v>85.4</v>
      </c>
      <c r="V26" s="2">
        <v>420</v>
      </c>
      <c r="W26" s="2">
        <v>80</v>
      </c>
    </row>
    <row r="27" spans="1:23" x14ac:dyDescent="0.35">
      <c r="A27" s="2" t="s">
        <v>371</v>
      </c>
      <c r="B27" s="2" t="s">
        <v>22</v>
      </c>
      <c r="C27" s="2" t="s">
        <v>3</v>
      </c>
      <c r="D27" s="2" t="s">
        <v>372</v>
      </c>
      <c r="E27" s="2" t="s">
        <v>373</v>
      </c>
      <c r="F27" s="2" t="s">
        <v>374</v>
      </c>
      <c r="G27" s="2" t="s">
        <v>375</v>
      </c>
      <c r="H27" s="2">
        <v>2024</v>
      </c>
      <c r="I27" s="2">
        <v>2.7410187567948601</v>
      </c>
      <c r="J27" s="2">
        <v>57.1</v>
      </c>
      <c r="K27" s="2">
        <f>IFERROR(VALUE(Table145[[#This Row],[Inflation Annual Pct]])," ")</f>
        <v>2.7410187567948601</v>
      </c>
      <c r="L27" s="2">
        <f>IFERROR(VALUE(Table145[[#This Row],[Cost of Living ]])," ")</f>
        <v>57.1</v>
      </c>
      <c r="M27" s="2" t="b">
        <f>ISNUMBER(Table145[[#This Row],[Inflation Rate]])</f>
        <v>1</v>
      </c>
      <c r="N27" s="2" t="b">
        <f>ISNUMBER(Table145[[#This Row],[Cost of Living]])</f>
        <v>1</v>
      </c>
      <c r="O27" s="2">
        <v>19.2</v>
      </c>
      <c r="P27" s="2">
        <v>53.8</v>
      </c>
      <c r="Q27" s="2">
        <v>55.1</v>
      </c>
      <c r="R27" s="2">
        <v>76.400000000000006</v>
      </c>
      <c r="S27" s="2">
        <v>2.38</v>
      </c>
      <c r="T27" s="2">
        <v>3.62</v>
      </c>
      <c r="U27" s="2">
        <v>78.2</v>
      </c>
      <c r="V27" s="2">
        <v>380</v>
      </c>
      <c r="W27" s="2">
        <v>75</v>
      </c>
    </row>
    <row r="28" spans="1:23" x14ac:dyDescent="0.35">
      <c r="A28" s="2" t="s">
        <v>665</v>
      </c>
      <c r="B28" s="2" t="s">
        <v>48</v>
      </c>
      <c r="C28" s="2" t="s">
        <v>23</v>
      </c>
      <c r="D28" s="2" t="s">
        <v>666</v>
      </c>
      <c r="E28" s="2" t="s">
        <v>667</v>
      </c>
      <c r="F28" s="2" t="s">
        <v>668</v>
      </c>
      <c r="G28" s="2" t="s">
        <v>669</v>
      </c>
      <c r="H28" s="2">
        <v>2024</v>
      </c>
      <c r="I28" s="2">
        <v>1.834100204499</v>
      </c>
      <c r="J28" s="2">
        <v>56.8</v>
      </c>
      <c r="K28" s="2">
        <f>IFERROR(VALUE(Table145[[#This Row],[Inflation Annual Pct]])," ")</f>
        <v>1.834100204499</v>
      </c>
      <c r="L28" s="2">
        <f>IFERROR(VALUE(Table145[[#This Row],[Cost of Living ]])," ")</f>
        <v>56.8</v>
      </c>
      <c r="M28" s="2" t="b">
        <f>ISNUMBER(Table145[[#This Row],[Inflation Rate]])</f>
        <v>1</v>
      </c>
      <c r="N28" s="2" t="b">
        <f>ISNUMBER(Table145[[#This Row],[Cost of Living]])</f>
        <v>1</v>
      </c>
      <c r="O28" s="2">
        <v>19.5</v>
      </c>
      <c r="P28" s="2">
        <v>53.8</v>
      </c>
      <c r="Q28" s="2">
        <v>54.8</v>
      </c>
      <c r="R28" s="2">
        <v>75.2</v>
      </c>
      <c r="S28" s="2"/>
      <c r="T28" s="2"/>
      <c r="U28" s="2"/>
      <c r="V28" s="2">
        <v>380</v>
      </c>
      <c r="W28" s="2"/>
    </row>
    <row r="29" spans="1:23" x14ac:dyDescent="0.35">
      <c r="A29" s="2" t="s">
        <v>753</v>
      </c>
      <c r="B29" s="2" t="s">
        <v>22</v>
      </c>
      <c r="C29" s="2" t="s">
        <v>3</v>
      </c>
      <c r="D29" s="2" t="s">
        <v>754</v>
      </c>
      <c r="E29" s="2" t="s">
        <v>755</v>
      </c>
      <c r="F29" s="2" t="s">
        <v>756</v>
      </c>
      <c r="G29" s="2" t="s">
        <v>757</v>
      </c>
      <c r="H29" s="2">
        <v>2024</v>
      </c>
      <c r="I29" s="2">
        <v>3.7906089763019701</v>
      </c>
      <c r="J29" s="2">
        <v>55.8</v>
      </c>
      <c r="K29" s="2">
        <f>IFERROR(VALUE(Table145[[#This Row],[Inflation Annual Pct]])," ")</f>
        <v>3.7906089763019701</v>
      </c>
      <c r="L29" s="2">
        <f>IFERROR(VALUE(Table145[[#This Row],[Cost of Living ]])," ")</f>
        <v>55.8</v>
      </c>
      <c r="M29" s="2" t="b">
        <f>ISNUMBER(Table145[[#This Row],[Inflation Rate]])</f>
        <v>1</v>
      </c>
      <c r="N29" s="2" t="b">
        <f>ISNUMBER(Table145[[#This Row],[Cost of Living]])</f>
        <v>1</v>
      </c>
      <c r="O29" s="2">
        <v>18.600000000000001</v>
      </c>
      <c r="P29" s="2">
        <v>52.4</v>
      </c>
      <c r="Q29" s="2">
        <v>53.8</v>
      </c>
      <c r="R29" s="2">
        <v>74.2</v>
      </c>
      <c r="S29" s="2">
        <v>2.25</v>
      </c>
      <c r="T29" s="2">
        <v>3.45</v>
      </c>
      <c r="U29" s="2">
        <v>72.5</v>
      </c>
      <c r="V29" s="2">
        <v>450</v>
      </c>
      <c r="W29" s="2">
        <v>85</v>
      </c>
    </row>
    <row r="30" spans="1:23" x14ac:dyDescent="0.35">
      <c r="A30" s="2" t="s">
        <v>908</v>
      </c>
      <c r="B30" s="2" t="s">
        <v>48</v>
      </c>
      <c r="C30" s="2" t="s">
        <v>23</v>
      </c>
      <c r="D30" s="2" t="s">
        <v>909</v>
      </c>
      <c r="E30" s="2" t="s">
        <v>910</v>
      </c>
      <c r="F30" s="2" t="s">
        <v>911</v>
      </c>
      <c r="G30" s="2" t="s">
        <v>912</v>
      </c>
      <c r="H30" s="2">
        <v>2024</v>
      </c>
      <c r="I30" s="2">
        <v>0.39833333333342202</v>
      </c>
      <c r="J30" s="2">
        <v>55.2</v>
      </c>
      <c r="K30" s="2">
        <f>IFERROR(VALUE(Table145[[#This Row],[Inflation Annual Pct]])," ")</f>
        <v>0.39833333333342202</v>
      </c>
      <c r="L30" s="2">
        <f>IFERROR(VALUE(Table145[[#This Row],[Cost of Living ]])," ")</f>
        <v>55.2</v>
      </c>
      <c r="M30" s="2" t="b">
        <f>ISNUMBER(Table145[[#This Row],[Inflation Rate]])</f>
        <v>1</v>
      </c>
      <c r="N30" s="2" t="b">
        <f>ISNUMBER(Table145[[#This Row],[Cost of Living]])</f>
        <v>1</v>
      </c>
      <c r="O30" s="2">
        <v>18.2</v>
      </c>
      <c r="P30" s="2">
        <v>52.4</v>
      </c>
      <c r="Q30" s="2">
        <v>53.2</v>
      </c>
      <c r="R30" s="2">
        <v>72.8</v>
      </c>
      <c r="S30" s="2"/>
      <c r="T30" s="2"/>
      <c r="U30" s="2"/>
      <c r="V30" s="2">
        <v>350</v>
      </c>
      <c r="W30" s="2"/>
    </row>
    <row r="31" spans="1:23" x14ac:dyDescent="0.35">
      <c r="A31" s="2" t="s">
        <v>550</v>
      </c>
      <c r="B31" s="2" t="s">
        <v>93</v>
      </c>
      <c r="C31" s="2" t="s">
        <v>23</v>
      </c>
      <c r="D31" s="2" t="s">
        <v>551</v>
      </c>
      <c r="E31" s="2" t="s">
        <v>552</v>
      </c>
      <c r="F31" s="2" t="s">
        <v>553</v>
      </c>
      <c r="G31" s="2" t="s">
        <v>554</v>
      </c>
      <c r="H31" s="2">
        <v>2024</v>
      </c>
      <c r="I31" s="2">
        <v>-0.42936004906973002</v>
      </c>
      <c r="J31" s="2">
        <v>53.8</v>
      </c>
      <c r="K31" s="2">
        <f>IFERROR(VALUE(Table145[[#This Row],[Inflation Annual Pct]])," ")</f>
        <v>-0.42936004906973002</v>
      </c>
      <c r="L31" s="2">
        <f>IFERROR(VALUE(Table145[[#This Row],[Cost of Living ]])," ")</f>
        <v>53.8</v>
      </c>
      <c r="M31" s="2" t="b">
        <f>ISNUMBER(Table145[[#This Row],[Inflation Rate]])</f>
        <v>1</v>
      </c>
      <c r="N31" s="2" t="b">
        <f>ISNUMBER(Table145[[#This Row],[Cost of Living]])</f>
        <v>1</v>
      </c>
      <c r="O31" s="2">
        <v>17.2</v>
      </c>
      <c r="P31" s="2">
        <v>50.8</v>
      </c>
      <c r="Q31" s="2">
        <v>51.5</v>
      </c>
      <c r="R31" s="2">
        <v>70.2</v>
      </c>
      <c r="S31" s="2"/>
      <c r="T31" s="2">
        <v>0.27</v>
      </c>
      <c r="U31" s="2">
        <v>9.93</v>
      </c>
      <c r="V31" s="2">
        <v>200</v>
      </c>
      <c r="W31" s="2"/>
    </row>
    <row r="32" spans="1:23" x14ac:dyDescent="0.35">
      <c r="A32" s="2" t="s">
        <v>603</v>
      </c>
      <c r="B32" s="2" t="s">
        <v>2</v>
      </c>
      <c r="C32" s="2" t="s">
        <v>23</v>
      </c>
      <c r="D32" s="2" t="s">
        <v>604</v>
      </c>
      <c r="E32" s="2" t="s">
        <v>605</v>
      </c>
      <c r="F32" s="2" t="s">
        <v>606</v>
      </c>
      <c r="G32" s="2" t="s">
        <v>607</v>
      </c>
      <c r="H32" s="2">
        <v>2024</v>
      </c>
      <c r="I32" s="2">
        <v>4.7222558845293197</v>
      </c>
      <c r="J32" s="2">
        <v>52.8</v>
      </c>
      <c r="K32" s="2">
        <f>IFERROR(VALUE(Table145[[#This Row],[Inflation Annual Pct]])," ")</f>
        <v>4.7222558845293197</v>
      </c>
      <c r="L32" s="2">
        <f>IFERROR(VALUE(Table145[[#This Row],[Cost of Living ]])," ")</f>
        <v>52.8</v>
      </c>
      <c r="M32" s="2" t="b">
        <f>ISNUMBER(Table145[[#This Row],[Inflation Rate]])</f>
        <v>1</v>
      </c>
      <c r="N32" s="2" t="b">
        <f>ISNUMBER(Table145[[#This Row],[Cost of Living]])</f>
        <v>1</v>
      </c>
      <c r="O32" s="2">
        <v>16.8</v>
      </c>
      <c r="P32" s="2">
        <v>50.1</v>
      </c>
      <c r="Q32" s="2">
        <v>51.2</v>
      </c>
      <c r="R32" s="2">
        <v>69.8</v>
      </c>
      <c r="S32" s="2">
        <v>1.98</v>
      </c>
      <c r="T32" s="2">
        <v>3.05</v>
      </c>
      <c r="U32" s="2">
        <v>58.2</v>
      </c>
      <c r="V32" s="2">
        <v>350</v>
      </c>
      <c r="W32" s="2">
        <v>55</v>
      </c>
    </row>
    <row r="33" spans="1:23" x14ac:dyDescent="0.35">
      <c r="A33" s="2" t="s">
        <v>704</v>
      </c>
      <c r="B33" s="2" t="s">
        <v>93</v>
      </c>
      <c r="C33" s="2" t="s">
        <v>16</v>
      </c>
      <c r="D33" s="2" t="s">
        <v>705</v>
      </c>
      <c r="E33" s="2" t="s">
        <v>706</v>
      </c>
      <c r="F33" s="2" t="s">
        <v>707</v>
      </c>
      <c r="G33" s="2" t="s">
        <v>708</v>
      </c>
      <c r="H33" s="2">
        <v>2024</v>
      </c>
      <c r="I33" s="2">
        <v>4.6850965426576998</v>
      </c>
      <c r="J33" s="2">
        <v>51.5</v>
      </c>
      <c r="K33" s="2">
        <f>IFERROR(VALUE(Table145[[#This Row],[Inflation Annual Pct]])," ")</f>
        <v>4.6850965426576998</v>
      </c>
      <c r="L33" s="2">
        <f>IFERROR(VALUE(Table145[[#This Row],[Cost of Living ]])," ")</f>
        <v>51.5</v>
      </c>
      <c r="M33" s="2" t="b">
        <f>ISNUMBER(Table145[[#This Row],[Inflation Rate]])</f>
        <v>1</v>
      </c>
      <c r="N33" s="2" t="b">
        <f>ISNUMBER(Table145[[#This Row],[Cost of Living]])</f>
        <v>1</v>
      </c>
      <c r="O33" s="2">
        <v>15.8</v>
      </c>
      <c r="P33" s="2">
        <v>49.2</v>
      </c>
      <c r="Q33" s="2">
        <v>49.8</v>
      </c>
      <c r="R33" s="2">
        <v>67.8</v>
      </c>
      <c r="S33" s="2"/>
      <c r="T33" s="2"/>
      <c r="U33" s="2"/>
      <c r="V33" s="2">
        <v>150</v>
      </c>
      <c r="W33" s="2"/>
    </row>
    <row r="34" spans="1:23" x14ac:dyDescent="0.35">
      <c r="A34" s="2" t="s">
        <v>138</v>
      </c>
      <c r="B34" s="2" t="s">
        <v>2</v>
      </c>
      <c r="C34" s="2" t="s">
        <v>23</v>
      </c>
      <c r="D34" s="2" t="s">
        <v>139</v>
      </c>
      <c r="E34" s="2" t="s">
        <v>140</v>
      </c>
      <c r="F34" s="2" t="s">
        <v>141</v>
      </c>
      <c r="G34" s="2" t="s">
        <v>142</v>
      </c>
      <c r="H34" s="2">
        <v>2024</v>
      </c>
      <c r="I34" s="2">
        <v>4.3674640765233699</v>
      </c>
      <c r="J34" s="2">
        <v>51.4</v>
      </c>
      <c r="K34" s="2">
        <f>IFERROR(VALUE(Table145[[#This Row],[Inflation Annual Pct]])," ")</f>
        <v>4.3674640765233699</v>
      </c>
      <c r="L34" s="2">
        <f>IFERROR(VALUE(Table145[[#This Row],[Cost of Living ]])," ")</f>
        <v>51.4</v>
      </c>
      <c r="M34" s="2" t="b">
        <f>ISNUMBER(Table145[[#This Row],[Inflation Rate]])</f>
        <v>1</v>
      </c>
      <c r="N34" s="2" t="b">
        <f>ISNUMBER(Table145[[#This Row],[Cost of Living]])</f>
        <v>1</v>
      </c>
      <c r="O34" s="2">
        <v>15.9</v>
      </c>
      <c r="P34" s="2">
        <v>49.2</v>
      </c>
      <c r="Q34" s="2">
        <v>50.1</v>
      </c>
      <c r="R34" s="2">
        <v>67.5</v>
      </c>
      <c r="S34" s="2">
        <v>1.85</v>
      </c>
      <c r="T34" s="2">
        <v>2.85</v>
      </c>
      <c r="U34" s="2">
        <v>52.4</v>
      </c>
      <c r="V34" s="2">
        <v>270</v>
      </c>
      <c r="W34" s="2">
        <v>70</v>
      </c>
    </row>
    <row r="35" spans="1:23" x14ac:dyDescent="0.35">
      <c r="A35" s="2" t="s">
        <v>496</v>
      </c>
      <c r="B35" s="2" t="s">
        <v>48</v>
      </c>
      <c r="C35" s="2" t="s">
        <v>16</v>
      </c>
      <c r="D35" s="2" t="s">
        <v>497</v>
      </c>
      <c r="E35" s="2" t="s">
        <v>498</v>
      </c>
      <c r="F35" s="2" t="s">
        <v>499</v>
      </c>
      <c r="G35" s="2" t="s">
        <v>500</v>
      </c>
      <c r="H35" s="2">
        <v>2024</v>
      </c>
      <c r="I35" s="2">
        <v>0.80804201653665397</v>
      </c>
      <c r="J35" s="2">
        <v>50.2</v>
      </c>
      <c r="K35" s="2">
        <f>IFERROR(VALUE(Table145[[#This Row],[Inflation Annual Pct]])," ")</f>
        <v>0.80804201653665397</v>
      </c>
      <c r="L35" s="2">
        <f>IFERROR(VALUE(Table145[[#This Row],[Cost of Living ]])," ")</f>
        <v>50.2</v>
      </c>
      <c r="M35" s="2" t="b">
        <f>ISNUMBER(Table145[[#This Row],[Inflation Rate]])</f>
        <v>1</v>
      </c>
      <c r="N35" s="2" t="b">
        <f>ISNUMBER(Table145[[#This Row],[Cost of Living]])</f>
        <v>1</v>
      </c>
      <c r="O35" s="2">
        <v>14.5</v>
      </c>
      <c r="P35" s="2">
        <v>48.2</v>
      </c>
      <c r="Q35" s="2">
        <v>48.5</v>
      </c>
      <c r="R35" s="2">
        <v>65.2</v>
      </c>
      <c r="S35" s="2"/>
      <c r="T35" s="2"/>
      <c r="U35" s="2"/>
      <c r="V35" s="2">
        <v>160</v>
      </c>
      <c r="W35" s="2"/>
    </row>
    <row r="36" spans="1:23" x14ac:dyDescent="0.35">
      <c r="A36" s="2" t="s">
        <v>1021</v>
      </c>
      <c r="B36" s="2" t="s">
        <v>15</v>
      </c>
      <c r="C36" s="2" t="s">
        <v>23</v>
      </c>
      <c r="D36" s="2" t="s">
        <v>1022</v>
      </c>
      <c r="E36" s="2" t="s">
        <v>1023</v>
      </c>
      <c r="F36" s="2" t="s">
        <v>1024</v>
      </c>
      <c r="G36" s="2" t="s">
        <v>1025</v>
      </c>
      <c r="H36" s="2">
        <v>2024</v>
      </c>
      <c r="I36" s="2">
        <v>4.3611524651896199</v>
      </c>
      <c r="J36" s="2">
        <v>50.2</v>
      </c>
      <c r="K36" s="2">
        <f>IFERROR(VALUE(Table145[[#This Row],[Inflation Annual Pct]])," ")</f>
        <v>4.3611524651896199</v>
      </c>
      <c r="L36" s="2">
        <f>IFERROR(VALUE(Table145[[#This Row],[Cost of Living ]])," ")</f>
        <v>50.2</v>
      </c>
      <c r="M36" s="2" t="b">
        <f>ISNUMBER(Table145[[#This Row],[Inflation Rate]])</f>
        <v>1</v>
      </c>
      <c r="N36" s="2" t="b">
        <f>ISNUMBER(Table145[[#This Row],[Cost of Living]])</f>
        <v>1</v>
      </c>
      <c r="O36" s="2">
        <v>15.2</v>
      </c>
      <c r="P36" s="2">
        <v>48.5</v>
      </c>
      <c r="Q36" s="2">
        <v>49.3</v>
      </c>
      <c r="R36" s="2">
        <v>65.8</v>
      </c>
      <c r="S36" s="2">
        <v>1.78</v>
      </c>
      <c r="T36" s="2">
        <v>2.68</v>
      </c>
      <c r="U36" s="2">
        <v>48.5</v>
      </c>
      <c r="V36" s="2">
        <v>320</v>
      </c>
      <c r="W36" s="2">
        <v>60</v>
      </c>
    </row>
    <row r="37" spans="1:23" x14ac:dyDescent="0.35">
      <c r="A37" s="2" t="s">
        <v>184</v>
      </c>
      <c r="B37" s="2" t="s">
        <v>48</v>
      </c>
      <c r="C37" s="2" t="s">
        <v>23</v>
      </c>
      <c r="D37" s="2" t="s">
        <v>185</v>
      </c>
      <c r="E37" s="2" t="s">
        <v>186</v>
      </c>
      <c r="F37" s="2" t="s">
        <v>187</v>
      </c>
      <c r="G37" s="2" t="s">
        <v>188</v>
      </c>
      <c r="H37" s="2">
        <v>2024</v>
      </c>
      <c r="I37" s="2">
        <v>0.21812893843917699</v>
      </c>
      <c r="J37" s="2">
        <v>49.8</v>
      </c>
      <c r="K37" s="2">
        <f>IFERROR(VALUE(Table145[[#This Row],[Inflation Annual Pct]])," ")</f>
        <v>0.21812893843917699</v>
      </c>
      <c r="L37" s="2">
        <f>IFERROR(VALUE(Table145[[#This Row],[Cost of Living ]])," ")</f>
        <v>49.8</v>
      </c>
      <c r="M37" s="2" t="b">
        <f>ISNUMBER(Table145[[#This Row],[Inflation Rate]])</f>
        <v>1</v>
      </c>
      <c r="N37" s="2" t="b">
        <f>ISNUMBER(Table145[[#This Row],[Cost of Living]])</f>
        <v>1</v>
      </c>
      <c r="O37" s="2">
        <v>14.8</v>
      </c>
      <c r="P37" s="2">
        <v>47.8</v>
      </c>
      <c r="Q37" s="2">
        <v>48.5</v>
      </c>
      <c r="R37" s="2">
        <v>64.2</v>
      </c>
      <c r="S37" s="2">
        <v>1.65</v>
      </c>
      <c r="T37" s="2">
        <v>2.4500000000000002</v>
      </c>
      <c r="U37" s="2">
        <v>42.8</v>
      </c>
      <c r="V37" s="2">
        <v>540</v>
      </c>
      <c r="W37" s="2">
        <v>80</v>
      </c>
    </row>
    <row r="38" spans="1:23" x14ac:dyDescent="0.35">
      <c r="A38" s="2" t="s">
        <v>627</v>
      </c>
      <c r="B38" s="2" t="s">
        <v>48</v>
      </c>
      <c r="C38" s="2" t="s">
        <v>16</v>
      </c>
      <c r="D38" s="2" t="s">
        <v>628</v>
      </c>
      <c r="E38" s="2" t="s">
        <v>629</v>
      </c>
      <c r="F38" s="2" t="s">
        <v>630</v>
      </c>
      <c r="G38" s="2"/>
      <c r="H38" s="2"/>
      <c r="I38" s="2"/>
      <c r="J38" s="2">
        <v>48.8</v>
      </c>
      <c r="K38" s="2">
        <f>IFERROR(VALUE(Table145[[#This Row],[Inflation Annual Pct]])," ")</f>
        <v>0</v>
      </c>
      <c r="L38" s="2">
        <f>IFERROR(VALUE(Table145[[#This Row],[Cost of Living ]])," ")</f>
        <v>48.8</v>
      </c>
      <c r="M38" s="2" t="b">
        <f>ISNUMBER(Table145[[#This Row],[Inflation Rate]])</f>
        <v>1</v>
      </c>
      <c r="N38" s="2" t="b">
        <f>ISNUMBER(Table145[[#This Row],[Cost of Living]])</f>
        <v>1</v>
      </c>
      <c r="O38" s="2">
        <v>13.2</v>
      </c>
      <c r="P38" s="2">
        <v>46.8</v>
      </c>
      <c r="Q38" s="2">
        <v>46.9</v>
      </c>
      <c r="R38" s="2">
        <v>62.8</v>
      </c>
      <c r="S38" s="2"/>
      <c r="T38" s="2"/>
      <c r="U38" s="2"/>
      <c r="V38" s="2">
        <v>140</v>
      </c>
      <c r="W38" s="2"/>
    </row>
    <row r="39" spans="1:23" x14ac:dyDescent="0.35">
      <c r="A39" s="2" t="s">
        <v>432</v>
      </c>
      <c r="B39" s="2" t="s">
        <v>93</v>
      </c>
      <c r="C39" s="2" t="s">
        <v>16</v>
      </c>
      <c r="D39" s="2" t="s">
        <v>433</v>
      </c>
      <c r="E39" s="2" t="s">
        <v>434</v>
      </c>
      <c r="F39" s="2" t="s">
        <v>435</v>
      </c>
      <c r="G39" s="2" t="s">
        <v>436</v>
      </c>
      <c r="H39" s="2">
        <v>2024</v>
      </c>
      <c r="I39" s="2">
        <v>4.9530355097366101</v>
      </c>
      <c r="J39" s="2">
        <v>48.5</v>
      </c>
      <c r="K39" s="2">
        <f>IFERROR(VALUE(Table145[[#This Row],[Inflation Annual Pct]])," ")</f>
        <v>4.9530355097366101</v>
      </c>
      <c r="L39" s="2">
        <f>IFERROR(VALUE(Table145[[#This Row],[Cost of Living ]])," ")</f>
        <v>48.5</v>
      </c>
      <c r="M39" s="2" t="b">
        <f>ISNUMBER(Table145[[#This Row],[Inflation Rate]])</f>
        <v>1</v>
      </c>
      <c r="N39" s="2" t="b">
        <f>ISNUMBER(Table145[[#This Row],[Cost of Living]])</f>
        <v>1</v>
      </c>
      <c r="O39" s="2">
        <v>13.5</v>
      </c>
      <c r="P39" s="2">
        <v>46.2</v>
      </c>
      <c r="Q39" s="2">
        <v>47.1</v>
      </c>
      <c r="R39" s="2">
        <v>62.5</v>
      </c>
      <c r="S39" s="2">
        <v>1.52</v>
      </c>
      <c r="T39" s="2">
        <v>2.1800000000000002</v>
      </c>
      <c r="U39" s="2">
        <v>35.200000000000003</v>
      </c>
      <c r="V39" s="2">
        <v>164</v>
      </c>
      <c r="W39" s="2">
        <v>45</v>
      </c>
    </row>
    <row r="40" spans="1:23" x14ac:dyDescent="0.35">
      <c r="A40" s="2" t="s">
        <v>636</v>
      </c>
      <c r="B40" s="2" t="s">
        <v>48</v>
      </c>
      <c r="C40" s="2" t="s">
        <v>23</v>
      </c>
      <c r="D40" s="2" t="s">
        <v>637</v>
      </c>
      <c r="E40" s="2" t="s">
        <v>638</v>
      </c>
      <c r="F40" s="2" t="s">
        <v>639</v>
      </c>
      <c r="G40" s="2" t="s">
        <v>640</v>
      </c>
      <c r="H40" s="2">
        <v>2024</v>
      </c>
      <c r="I40" s="2">
        <v>6.1977990165841996</v>
      </c>
      <c r="J40" s="2">
        <v>47.5</v>
      </c>
      <c r="K40" s="2">
        <f>IFERROR(VALUE(Table145[[#This Row],[Inflation Annual Pct]])," ")</f>
        <v>6.1977990165841996</v>
      </c>
      <c r="L40" s="2">
        <f>IFERROR(VALUE(Table145[[#This Row],[Cost of Living ]])," ")</f>
        <v>47.5</v>
      </c>
      <c r="M40" s="2" t="b">
        <f>ISNUMBER(Table145[[#This Row],[Inflation Rate]])</f>
        <v>1</v>
      </c>
      <c r="N40" s="2" t="b">
        <f>ISNUMBER(Table145[[#This Row],[Cost of Living]])</f>
        <v>1</v>
      </c>
      <c r="O40" s="2">
        <v>12.5</v>
      </c>
      <c r="P40" s="2">
        <v>45.5</v>
      </c>
      <c r="Q40" s="2">
        <v>45.8</v>
      </c>
      <c r="R40" s="2">
        <v>60.5</v>
      </c>
      <c r="S40" s="2"/>
      <c r="T40" s="2"/>
      <c r="U40" s="2"/>
      <c r="V40" s="2"/>
      <c r="W40" s="2"/>
    </row>
    <row r="41" spans="1:23" x14ac:dyDescent="0.35">
      <c r="A41" s="2" t="s">
        <v>423</v>
      </c>
      <c r="B41" s="2" t="s">
        <v>48</v>
      </c>
      <c r="C41" s="2" t="s">
        <v>23</v>
      </c>
      <c r="D41" s="2" t="s">
        <v>424</v>
      </c>
      <c r="E41" s="2" t="s">
        <v>425</v>
      </c>
      <c r="F41" s="2" t="s">
        <v>426</v>
      </c>
      <c r="G41" s="2" t="s">
        <v>427</v>
      </c>
      <c r="H41" s="2">
        <v>2024</v>
      </c>
      <c r="I41" s="2">
        <v>2.1815127361518898</v>
      </c>
      <c r="J41" s="2">
        <v>47.2</v>
      </c>
      <c r="K41" s="2">
        <f>IFERROR(VALUE(Table145[[#This Row],[Inflation Annual Pct]])," ")</f>
        <v>2.1815127361518898</v>
      </c>
      <c r="L41" s="2">
        <f>IFERROR(VALUE(Table145[[#This Row],[Cost of Living ]])," ")</f>
        <v>47.2</v>
      </c>
      <c r="M41" s="2" t="b">
        <f>ISNUMBER(Table145[[#This Row],[Inflation Rate]])</f>
        <v>1</v>
      </c>
      <c r="N41" s="2" t="b">
        <f>ISNUMBER(Table145[[#This Row],[Cost of Living]])</f>
        <v>1</v>
      </c>
      <c r="O41" s="2">
        <v>12.8</v>
      </c>
      <c r="P41" s="2">
        <v>45.1</v>
      </c>
      <c r="Q41" s="2">
        <v>45.8</v>
      </c>
      <c r="R41" s="2">
        <v>60.8</v>
      </c>
      <c r="S41" s="2">
        <v>1.45</v>
      </c>
      <c r="T41" s="2">
        <v>2.0499999999999998</v>
      </c>
      <c r="U41" s="2">
        <v>32.4</v>
      </c>
      <c r="V41" s="2">
        <v>305</v>
      </c>
      <c r="W41" s="2">
        <v>55</v>
      </c>
    </row>
    <row r="42" spans="1:23" x14ac:dyDescent="0.35">
      <c r="A42" s="2" t="s">
        <v>738</v>
      </c>
      <c r="B42" s="2" t="s">
        <v>48</v>
      </c>
      <c r="C42" s="2" t="s">
        <v>23</v>
      </c>
      <c r="D42" s="2" t="s">
        <v>739</v>
      </c>
      <c r="E42" s="2" t="s">
        <v>740</v>
      </c>
      <c r="F42" s="2" t="s">
        <v>741</v>
      </c>
      <c r="G42" s="2" t="s">
        <v>742</v>
      </c>
      <c r="H42" s="2">
        <v>2024</v>
      </c>
      <c r="I42" s="2">
        <v>3.21260487006347</v>
      </c>
      <c r="J42" s="2">
        <v>46.1</v>
      </c>
      <c r="K42" s="2">
        <f>IFERROR(VALUE(Table145[[#This Row],[Inflation Annual Pct]])," ")</f>
        <v>3.21260487006347</v>
      </c>
      <c r="L42" s="2">
        <f>IFERROR(VALUE(Table145[[#This Row],[Cost of Living ]])," ")</f>
        <v>46.1</v>
      </c>
      <c r="M42" s="2" t="b">
        <f>ISNUMBER(Table145[[#This Row],[Inflation Rate]])</f>
        <v>1</v>
      </c>
      <c r="N42" s="2" t="b">
        <f>ISNUMBER(Table145[[#This Row],[Cost of Living]])</f>
        <v>1</v>
      </c>
      <c r="O42" s="2">
        <v>12.2</v>
      </c>
      <c r="P42" s="2">
        <v>44.2</v>
      </c>
      <c r="Q42" s="2">
        <v>44.5</v>
      </c>
      <c r="R42" s="2">
        <v>59.2</v>
      </c>
      <c r="S42" s="2">
        <v>1.38</v>
      </c>
      <c r="T42" s="2">
        <v>1.92</v>
      </c>
      <c r="U42" s="2">
        <v>28.5</v>
      </c>
      <c r="V42" s="2">
        <v>280</v>
      </c>
      <c r="W42" s="2">
        <v>48</v>
      </c>
    </row>
    <row r="43" spans="1:23" x14ac:dyDescent="0.35">
      <c r="A43" s="2" t="s">
        <v>723</v>
      </c>
      <c r="B43" s="2" t="s">
        <v>8</v>
      </c>
      <c r="C43" s="2" t="s">
        <v>16</v>
      </c>
      <c r="D43" s="2" t="s">
        <v>724</v>
      </c>
      <c r="E43" s="2" t="s">
        <v>725</v>
      </c>
      <c r="F43" s="2" t="s">
        <v>726</v>
      </c>
      <c r="G43" s="2" t="s">
        <v>727</v>
      </c>
      <c r="H43" s="2">
        <v>2024</v>
      </c>
      <c r="I43" s="2">
        <v>12.632531853045201</v>
      </c>
      <c r="J43" s="2">
        <v>43.2</v>
      </c>
      <c r="K43" s="2">
        <f>IFERROR(VALUE(Table145[[#This Row],[Inflation Annual Pct]])," ")</f>
        <v>12.632531853045201</v>
      </c>
      <c r="L43" s="2">
        <f>IFERROR(VALUE(Table145[[#This Row],[Cost of Living ]])," ")</f>
        <v>43.2</v>
      </c>
      <c r="M43" s="2" t="b">
        <f>ISNUMBER(Table145[[#This Row],[Inflation Rate]])</f>
        <v>1</v>
      </c>
      <c r="N43" s="2" t="b">
        <f>ISNUMBER(Table145[[#This Row],[Cost of Living]])</f>
        <v>1</v>
      </c>
      <c r="O43" s="2">
        <v>10.8</v>
      </c>
      <c r="P43" s="2">
        <v>41.8</v>
      </c>
      <c r="Q43" s="2">
        <v>41.9</v>
      </c>
      <c r="R43" s="2">
        <v>55.8</v>
      </c>
      <c r="S43" s="2">
        <v>1.18</v>
      </c>
      <c r="T43" s="2">
        <v>1.52</v>
      </c>
      <c r="U43" s="2">
        <v>20.8</v>
      </c>
      <c r="V43" s="2">
        <v>120</v>
      </c>
      <c r="W43" s="2">
        <v>30</v>
      </c>
    </row>
    <row r="44" spans="1:23" x14ac:dyDescent="0.35">
      <c r="A44" s="2" t="s">
        <v>684</v>
      </c>
      <c r="B44" s="2" t="s">
        <v>15</v>
      </c>
      <c r="C44" s="2" t="s">
        <v>16</v>
      </c>
      <c r="D44" s="2" t="s">
        <v>685</v>
      </c>
      <c r="E44" s="2" t="s">
        <v>686</v>
      </c>
      <c r="F44" s="2" t="s">
        <v>687</v>
      </c>
      <c r="G44" s="2" t="s">
        <v>688</v>
      </c>
      <c r="H44" s="2">
        <v>2024</v>
      </c>
      <c r="I44" s="2">
        <v>33.241659055274901</v>
      </c>
      <c r="J44" s="2">
        <v>40.799999999999997</v>
      </c>
      <c r="K44" s="2">
        <f>IFERROR(VALUE(Table145[[#This Row],[Inflation Annual Pct]])," ")</f>
        <v>33.241659055274901</v>
      </c>
      <c r="L44" s="2">
        <f>IFERROR(VALUE(Table145[[#This Row],[Cost of Living ]])," ")</f>
        <v>40.799999999999997</v>
      </c>
      <c r="M44" s="2" t="b">
        <f>ISNUMBER(Table145[[#This Row],[Inflation Rate]])</f>
        <v>1</v>
      </c>
      <c r="N44" s="2" t="b">
        <f>ISNUMBER(Table145[[#This Row],[Cost of Living]])</f>
        <v>1</v>
      </c>
      <c r="O44" s="2">
        <v>9.5</v>
      </c>
      <c r="P44" s="2">
        <v>39.200000000000003</v>
      </c>
      <c r="Q44" s="2">
        <v>39.5</v>
      </c>
      <c r="R44" s="2">
        <v>52.5</v>
      </c>
      <c r="S44" s="2">
        <v>1.05</v>
      </c>
      <c r="T44" s="2">
        <v>1.32</v>
      </c>
      <c r="U44" s="2">
        <v>16.2</v>
      </c>
      <c r="V44" s="2">
        <v>180</v>
      </c>
      <c r="W44" s="2">
        <v>40</v>
      </c>
    </row>
    <row r="45" spans="1:23" x14ac:dyDescent="0.35">
      <c r="A45" s="2" t="s">
        <v>92</v>
      </c>
      <c r="B45" s="2" t="s">
        <v>93</v>
      </c>
      <c r="C45" s="2" t="s">
        <v>16</v>
      </c>
      <c r="D45" s="2" t="s">
        <v>94</v>
      </c>
      <c r="E45" s="2" t="s">
        <v>95</v>
      </c>
      <c r="F45" s="2" t="s">
        <v>96</v>
      </c>
      <c r="G45" s="2" t="s">
        <v>97</v>
      </c>
      <c r="H45" s="2">
        <v>2024</v>
      </c>
      <c r="I45" s="2">
        <v>10.4657482763412</v>
      </c>
      <c r="J45" s="2">
        <v>39.5</v>
      </c>
      <c r="K45" s="2">
        <f>IFERROR(VALUE(Table145[[#This Row],[Inflation Annual Pct]])," ")</f>
        <v>10.4657482763412</v>
      </c>
      <c r="L45" s="2">
        <f>IFERROR(VALUE(Table145[[#This Row],[Cost of Living ]])," ")</f>
        <v>39.5</v>
      </c>
      <c r="M45" s="2" t="b">
        <f>ISNUMBER(Table145[[#This Row],[Inflation Rate]])</f>
        <v>1</v>
      </c>
      <c r="N45" s="2" t="b">
        <f>ISNUMBER(Table145[[#This Row],[Cost of Living]])</f>
        <v>1</v>
      </c>
      <c r="O45" s="2">
        <v>8.8000000000000007</v>
      </c>
      <c r="P45" s="2">
        <v>38.1</v>
      </c>
      <c r="Q45" s="2">
        <v>38.200000000000003</v>
      </c>
      <c r="R45" s="2">
        <v>50.8</v>
      </c>
      <c r="S45" s="2">
        <v>0.95</v>
      </c>
      <c r="T45" s="2">
        <v>1.18</v>
      </c>
      <c r="U45" s="2">
        <v>14.5</v>
      </c>
      <c r="V45" s="2">
        <v>100</v>
      </c>
      <c r="W45" s="2">
        <v>25</v>
      </c>
    </row>
    <row r="46" spans="1:23" x14ac:dyDescent="0.35">
      <c r="A46" s="2" t="s">
        <v>7</v>
      </c>
      <c r="B46" s="2" t="s">
        <v>8</v>
      </c>
      <c r="C46" s="2" t="s">
        <v>9</v>
      </c>
      <c r="D46" s="2" t="s">
        <v>10</v>
      </c>
      <c r="E46" s="2" t="s">
        <v>11</v>
      </c>
      <c r="F46" s="2" t="s">
        <v>12</v>
      </c>
      <c r="G46" s="2" t="s">
        <v>13</v>
      </c>
      <c r="H46" s="2">
        <v>2024</v>
      </c>
      <c r="I46" s="2">
        <v>-6.6011856407372598</v>
      </c>
      <c r="J46" s="2">
        <v>38.200000000000003</v>
      </c>
      <c r="K46" s="2">
        <f>IFERROR(VALUE(Table145[[#This Row],[Inflation Annual Pct]])," ")</f>
        <v>-6.6011856407372598</v>
      </c>
      <c r="L46" s="2">
        <f>IFERROR(VALUE(Table145[[#This Row],[Cost of Living ]])," ")</f>
        <v>38.200000000000003</v>
      </c>
      <c r="M46" s="2" t="b">
        <f>ISNUMBER(Table145[[#This Row],[Inflation Rate]])</f>
        <v>1</v>
      </c>
      <c r="N46" s="2" t="b">
        <f>ISNUMBER(Table145[[#This Row],[Cost of Living]])</f>
        <v>1</v>
      </c>
      <c r="O46" s="2">
        <v>8.1999999999999993</v>
      </c>
      <c r="P46" s="2">
        <v>36.799999999999997</v>
      </c>
      <c r="Q46" s="2">
        <v>36.9</v>
      </c>
      <c r="R46" s="2">
        <v>48.5</v>
      </c>
      <c r="S46" s="2">
        <v>0.88</v>
      </c>
      <c r="T46" s="2">
        <v>1.05</v>
      </c>
      <c r="U46" s="2">
        <v>12.8</v>
      </c>
      <c r="V46" s="2">
        <v>85</v>
      </c>
      <c r="W46" s="2">
        <v>20</v>
      </c>
    </row>
    <row r="47" spans="1:23" x14ac:dyDescent="0.35">
      <c r="A47" s="2" t="s">
        <v>1</v>
      </c>
      <c r="B47" s="2" t="s">
        <v>2</v>
      </c>
      <c r="C47" s="2" t="s">
        <v>3</v>
      </c>
      <c r="D47" s="2" t="s">
        <v>4</v>
      </c>
      <c r="E47" s="2" t="s">
        <v>5</v>
      </c>
      <c r="F47" s="2" t="s">
        <v>6</v>
      </c>
      <c r="G47" s="2"/>
      <c r="H47" s="2"/>
      <c r="I47" s="2"/>
      <c r="J47" s="2"/>
      <c r="K47" s="2">
        <f>IFERROR(VALUE(Table145[[#This Row],[Inflation Annual Pct]])," ")</f>
        <v>0</v>
      </c>
      <c r="L47" s="2">
        <f>IFERROR(VALUE(Table145[[#This Row],[Cost of Living ]])," ")</f>
        <v>0</v>
      </c>
      <c r="M47" s="2" t="b">
        <f>ISNUMBER(Table145[[#This Row],[Inflation Rate]])</f>
        <v>1</v>
      </c>
      <c r="N47" s="2" t="b">
        <f>ISNUMBER(Table145[[#This Row],[Cost of Living]])</f>
        <v>1</v>
      </c>
      <c r="O47" s="2"/>
      <c r="P47" s="2"/>
      <c r="Q47" s="2"/>
      <c r="R47" s="2"/>
      <c r="S47" s="2"/>
      <c r="T47" s="2"/>
      <c r="U47" s="2"/>
      <c r="V47" s="2"/>
      <c r="W47" s="2"/>
    </row>
    <row r="48" spans="1:23" x14ac:dyDescent="0.35">
      <c r="A48" s="2" t="s">
        <v>14</v>
      </c>
      <c r="B48" s="2" t="s">
        <v>15</v>
      </c>
      <c r="C48" s="2" t="s">
        <v>16</v>
      </c>
      <c r="D48" s="2" t="s">
        <v>17</v>
      </c>
      <c r="E48" s="2" t="s">
        <v>18</v>
      </c>
      <c r="F48" s="2" t="s">
        <v>19</v>
      </c>
      <c r="G48" s="2" t="s">
        <v>20</v>
      </c>
      <c r="H48" s="2">
        <v>2024</v>
      </c>
      <c r="I48" s="2">
        <v>28.2404948915772</v>
      </c>
      <c r="J48" s="2"/>
      <c r="K48" s="2">
        <f>IFERROR(VALUE(Table145[[#This Row],[Inflation Annual Pct]])," ")</f>
        <v>28.2404948915772</v>
      </c>
      <c r="L48" s="2">
        <f>IFERROR(VALUE(Table145[[#This Row],[Cost of Living ]])," ")</f>
        <v>0</v>
      </c>
      <c r="M48" s="2" t="b">
        <f>ISNUMBER(Table145[[#This Row],[Inflation Rate]])</f>
        <v>1</v>
      </c>
      <c r="N48" s="2" t="b">
        <f>ISNUMBER(Table145[[#This Row],[Cost of Living]])</f>
        <v>1</v>
      </c>
      <c r="O48" s="2"/>
      <c r="P48" s="2"/>
      <c r="Q48" s="2"/>
      <c r="R48" s="2"/>
      <c r="S48" s="2"/>
      <c r="T48" s="2"/>
      <c r="U48" s="2"/>
      <c r="V48" s="2"/>
      <c r="W48" s="2"/>
    </row>
    <row r="49" spans="1:23" x14ac:dyDescent="0.35">
      <c r="A49" s="2" t="s">
        <v>21</v>
      </c>
      <c r="B49" s="2" t="s">
        <v>22</v>
      </c>
      <c r="C49" s="2" t="s">
        <v>23</v>
      </c>
      <c r="D49" s="2" t="s">
        <v>24</v>
      </c>
      <c r="E49" s="2" t="s">
        <v>25</v>
      </c>
      <c r="F49" s="2" t="s">
        <v>26</v>
      </c>
      <c r="G49" s="2" t="s">
        <v>27</v>
      </c>
      <c r="H49" s="2">
        <v>2024</v>
      </c>
      <c r="I49" s="2">
        <v>2.2158737508999198</v>
      </c>
      <c r="J49" s="2"/>
      <c r="K49" s="2">
        <f>IFERROR(VALUE(Table145[[#This Row],[Inflation Annual Pct]])," ")</f>
        <v>2.2158737508999198</v>
      </c>
      <c r="L49" s="2">
        <f>IFERROR(VALUE(Table145[[#This Row],[Cost of Living ]])," ")</f>
        <v>0</v>
      </c>
      <c r="M49" s="2" t="b">
        <f>ISNUMBER(Table145[[#This Row],[Inflation Rate]])</f>
        <v>1</v>
      </c>
      <c r="N49" s="2" t="b">
        <f>ISNUMBER(Table145[[#This Row],[Cost of Living]])</f>
        <v>1</v>
      </c>
      <c r="O49" s="2"/>
      <c r="P49" s="2"/>
      <c r="Q49" s="2"/>
      <c r="R49" s="2"/>
      <c r="S49" s="2"/>
      <c r="T49" s="2"/>
      <c r="U49" s="2"/>
      <c r="V49" s="2"/>
      <c r="W49" s="2"/>
    </row>
    <row r="50" spans="1:23" x14ac:dyDescent="0.35">
      <c r="A50" s="2" t="s">
        <v>28</v>
      </c>
      <c r="B50" s="2" t="s">
        <v>22</v>
      </c>
      <c r="C50" s="2" t="s">
        <v>3</v>
      </c>
      <c r="D50" s="2" t="s">
        <v>29</v>
      </c>
      <c r="E50" s="2" t="s">
        <v>30</v>
      </c>
      <c r="F50" s="2" t="s">
        <v>31</v>
      </c>
      <c r="G50" s="2"/>
      <c r="H50" s="2"/>
      <c r="I50" s="2"/>
      <c r="J50" s="2"/>
      <c r="K50" s="2">
        <f>IFERROR(VALUE(Table145[[#This Row],[Inflation Annual Pct]])," ")</f>
        <v>0</v>
      </c>
      <c r="L50" s="2">
        <f>IFERROR(VALUE(Table145[[#This Row],[Cost of Living ]])," ")</f>
        <v>0</v>
      </c>
      <c r="M50" s="2" t="b">
        <f>ISNUMBER(Table145[[#This Row],[Inflation Rate]])</f>
        <v>1</v>
      </c>
      <c r="N50" s="2" t="b">
        <f>ISNUMBER(Table145[[#This Row],[Cost of Living]])</f>
        <v>1</v>
      </c>
      <c r="O50" s="2"/>
      <c r="P50" s="2"/>
      <c r="Q50" s="2"/>
      <c r="R50" s="2"/>
      <c r="S50" s="2"/>
      <c r="T50" s="2"/>
      <c r="U50" s="2"/>
      <c r="V50" s="2"/>
      <c r="W50" s="2"/>
    </row>
    <row r="51" spans="1:23" x14ac:dyDescent="0.35">
      <c r="A51" s="2" t="s">
        <v>37</v>
      </c>
      <c r="B51" s="2" t="s">
        <v>2</v>
      </c>
      <c r="C51" s="2" t="s">
        <v>23</v>
      </c>
      <c r="D51" s="2" t="s">
        <v>38</v>
      </c>
      <c r="E51" s="2" t="s">
        <v>39</v>
      </c>
      <c r="F51" s="2" t="s">
        <v>40</v>
      </c>
      <c r="G51" s="2" t="s">
        <v>41</v>
      </c>
      <c r="H51" s="2">
        <v>2024</v>
      </c>
      <c r="I51" s="2">
        <v>219.883929014578</v>
      </c>
      <c r="J51" s="2"/>
      <c r="K51" s="2">
        <f>IFERROR(VALUE(Table145[[#This Row],[Inflation Annual Pct]])," ")</f>
        <v>219.883929014578</v>
      </c>
      <c r="L51" s="2">
        <f>IFERROR(VALUE(Table145[[#This Row],[Cost of Living ]])," ")</f>
        <v>0</v>
      </c>
      <c r="M51" s="2" t="b">
        <f>ISNUMBER(Table145[[#This Row],[Inflation Rate]])</f>
        <v>1</v>
      </c>
      <c r="N51" s="2" t="b">
        <f>ISNUMBER(Table145[[#This Row],[Cost of Living]])</f>
        <v>1</v>
      </c>
      <c r="O51" s="2"/>
      <c r="P51" s="2"/>
      <c r="Q51" s="2"/>
      <c r="R51" s="2"/>
      <c r="S51" s="2"/>
      <c r="T51" s="2"/>
      <c r="U51" s="2"/>
      <c r="V51" s="2"/>
      <c r="W51" s="2"/>
    </row>
    <row r="52" spans="1:23" x14ac:dyDescent="0.35">
      <c r="A52" s="2" t="s">
        <v>42</v>
      </c>
      <c r="B52" s="2" t="s">
        <v>22</v>
      </c>
      <c r="C52" s="2" t="s">
        <v>23</v>
      </c>
      <c r="D52" s="2" t="s">
        <v>43</v>
      </c>
      <c r="E52" s="2" t="s">
        <v>44</v>
      </c>
      <c r="F52" s="2" t="s">
        <v>45</v>
      </c>
      <c r="G52" s="2" t="s">
        <v>46</v>
      </c>
      <c r="H52" s="2">
        <v>2024</v>
      </c>
      <c r="I52" s="2">
        <v>0.26951197825912498</v>
      </c>
      <c r="J52" s="2"/>
      <c r="K52" s="2">
        <f>IFERROR(VALUE(Table145[[#This Row],[Inflation Annual Pct]])," ")</f>
        <v>0.26951197825912498</v>
      </c>
      <c r="L52" s="2">
        <f>IFERROR(VALUE(Table145[[#This Row],[Cost of Living ]])," ")</f>
        <v>0</v>
      </c>
      <c r="M52" s="2" t="b">
        <f>ISNUMBER(Table145[[#This Row],[Inflation Rate]])</f>
        <v>1</v>
      </c>
      <c r="N52" s="2" t="b">
        <f>ISNUMBER(Table145[[#This Row],[Cost of Living]])</f>
        <v>1</v>
      </c>
      <c r="O52" s="2"/>
      <c r="P52" s="2"/>
      <c r="Q52" s="2"/>
      <c r="R52" s="2"/>
      <c r="S52" s="2"/>
      <c r="T52" s="2"/>
      <c r="U52" s="2"/>
      <c r="V52" s="2"/>
      <c r="W52" s="2"/>
    </row>
    <row r="53" spans="1:23" x14ac:dyDescent="0.35">
      <c r="A53" s="2" t="s">
        <v>47</v>
      </c>
      <c r="B53" s="2" t="s">
        <v>48</v>
      </c>
      <c r="C53" s="2" t="s">
        <v>3</v>
      </c>
      <c r="D53" s="2" t="s">
        <v>49</v>
      </c>
      <c r="E53" s="2" t="s">
        <v>50</v>
      </c>
      <c r="F53" s="2" t="s">
        <v>51</v>
      </c>
      <c r="G53" s="2"/>
      <c r="H53" s="2"/>
      <c r="I53" s="2"/>
      <c r="J53" s="2"/>
      <c r="K53" s="2">
        <f>IFERROR(VALUE(Table145[[#This Row],[Inflation Annual Pct]])," ")</f>
        <v>0</v>
      </c>
      <c r="L53" s="2">
        <f>IFERROR(VALUE(Table145[[#This Row],[Cost of Living ]])," ")</f>
        <v>0</v>
      </c>
      <c r="M53" s="2" t="b">
        <f>ISNUMBER(Table145[[#This Row],[Inflation Rate]])</f>
        <v>1</v>
      </c>
      <c r="N53" s="2" t="b">
        <f>ISNUMBER(Table145[[#This Row],[Cost of Living]])</f>
        <v>1</v>
      </c>
      <c r="O53" s="2"/>
      <c r="P53" s="2"/>
      <c r="Q53" s="2"/>
      <c r="R53" s="2"/>
      <c r="S53" s="2"/>
      <c r="T53" s="2"/>
      <c r="U53" s="2"/>
      <c r="V53" s="2"/>
      <c r="W53" s="2"/>
    </row>
    <row r="54" spans="1:23" x14ac:dyDescent="0.35">
      <c r="A54" s="2" t="s">
        <v>52</v>
      </c>
      <c r="B54" s="2" t="s">
        <v>2</v>
      </c>
      <c r="C54" s="2" t="s">
        <v>3</v>
      </c>
      <c r="D54" s="2" t="s">
        <v>53</v>
      </c>
      <c r="E54" s="2" t="s">
        <v>54</v>
      </c>
      <c r="F54" s="2" t="s">
        <v>55</v>
      </c>
      <c r="G54" s="2" t="s">
        <v>56</v>
      </c>
      <c r="H54" s="2">
        <v>2024</v>
      </c>
      <c r="I54" s="2">
        <v>6.1988669884211598</v>
      </c>
      <c r="J54" s="2"/>
      <c r="K54" s="2">
        <f>IFERROR(VALUE(Table145[[#This Row],[Inflation Annual Pct]])," ")</f>
        <v>6.1988669884211598</v>
      </c>
      <c r="L54" s="2">
        <f>IFERROR(VALUE(Table145[[#This Row],[Cost of Living ]])," ")</f>
        <v>0</v>
      </c>
      <c r="M54" s="2" t="b">
        <f>ISNUMBER(Table145[[#This Row],[Inflation Rate]])</f>
        <v>1</v>
      </c>
      <c r="N54" s="2" t="b">
        <f>ISNUMBER(Table145[[#This Row],[Cost of Living]])</f>
        <v>1</v>
      </c>
      <c r="O54" s="2"/>
      <c r="P54" s="2"/>
      <c r="Q54" s="2"/>
      <c r="R54" s="2"/>
      <c r="S54" s="2"/>
      <c r="T54" s="2"/>
      <c r="U54" s="2"/>
      <c r="V54" s="2"/>
      <c r="W54" s="2"/>
    </row>
    <row r="55" spans="1:23" x14ac:dyDescent="0.35">
      <c r="A55" s="2" t="s">
        <v>62</v>
      </c>
      <c r="B55" s="2" t="s">
        <v>22</v>
      </c>
      <c r="C55" s="2" t="s">
        <v>3</v>
      </c>
      <c r="D55" s="2" t="s">
        <v>63</v>
      </c>
      <c r="E55" s="2" t="s">
        <v>64</v>
      </c>
      <c r="F55" s="2" t="s">
        <v>65</v>
      </c>
      <c r="G55" s="2" t="s">
        <v>66</v>
      </c>
      <c r="H55" s="2">
        <v>2024</v>
      </c>
      <c r="I55" s="2">
        <v>2.9379157427937601</v>
      </c>
      <c r="J55" s="2"/>
      <c r="K55" s="2">
        <f>IFERROR(VALUE(Table145[[#This Row],[Inflation Annual Pct]])," ")</f>
        <v>2.9379157427937601</v>
      </c>
      <c r="L55" s="2">
        <f>IFERROR(VALUE(Table145[[#This Row],[Cost of Living ]])," ")</f>
        <v>0</v>
      </c>
      <c r="M55" s="2" t="b">
        <f>ISNUMBER(Table145[[#This Row],[Inflation Rate]])</f>
        <v>1</v>
      </c>
      <c r="N55" s="2" t="b">
        <f>ISNUMBER(Table145[[#This Row],[Cost of Living]])</f>
        <v>1</v>
      </c>
      <c r="O55" s="2"/>
      <c r="P55" s="2"/>
      <c r="Q55" s="2"/>
      <c r="R55" s="2"/>
      <c r="S55" s="2"/>
      <c r="T55" s="2"/>
      <c r="U55" s="2"/>
      <c r="V55" s="2"/>
      <c r="W55" s="2"/>
    </row>
    <row r="56" spans="1:23" x14ac:dyDescent="0.35">
      <c r="A56" s="2" t="s">
        <v>67</v>
      </c>
      <c r="B56" s="2" t="s">
        <v>22</v>
      </c>
      <c r="C56" s="2" t="s">
        <v>23</v>
      </c>
      <c r="D56" s="2" t="s">
        <v>68</v>
      </c>
      <c r="E56" s="2" t="s">
        <v>69</v>
      </c>
      <c r="F56" s="2" t="s">
        <v>70</v>
      </c>
      <c r="G56" s="2" t="s">
        <v>71</v>
      </c>
      <c r="H56" s="2">
        <v>2024</v>
      </c>
      <c r="I56" s="2">
        <v>2.2121718891990101</v>
      </c>
      <c r="J56" s="2"/>
      <c r="K56" s="2">
        <f>IFERROR(VALUE(Table145[[#This Row],[Inflation Annual Pct]])," ")</f>
        <v>2.2121718891990101</v>
      </c>
      <c r="L56" s="2">
        <f>IFERROR(VALUE(Table145[[#This Row],[Cost of Living ]])," ")</f>
        <v>0</v>
      </c>
      <c r="M56" s="2" t="b">
        <f>ISNUMBER(Table145[[#This Row],[Inflation Rate]])</f>
        <v>1</v>
      </c>
      <c r="N56" s="2" t="b">
        <f>ISNUMBER(Table145[[#This Row],[Cost of Living]])</f>
        <v>1</v>
      </c>
      <c r="O56" s="2"/>
      <c r="P56" s="2"/>
      <c r="Q56" s="2"/>
      <c r="R56" s="2"/>
      <c r="S56" s="2">
        <v>0.46</v>
      </c>
      <c r="T56" s="2"/>
      <c r="U56" s="2"/>
      <c r="V56" s="2"/>
      <c r="W56" s="2"/>
    </row>
    <row r="57" spans="1:23" x14ac:dyDescent="0.35">
      <c r="A57" s="2" t="s">
        <v>72</v>
      </c>
      <c r="B57" s="2" t="s">
        <v>15</v>
      </c>
      <c r="C57" s="2" t="s">
        <v>9</v>
      </c>
      <c r="D57" s="2" t="s">
        <v>73</v>
      </c>
      <c r="E57" s="2" t="s">
        <v>74</v>
      </c>
      <c r="F57" s="2" t="s">
        <v>75</v>
      </c>
      <c r="G57" s="2" t="s">
        <v>76</v>
      </c>
      <c r="H57" s="2">
        <v>2024</v>
      </c>
      <c r="I57" s="2">
        <v>20.212492502784698</v>
      </c>
      <c r="J57" s="2"/>
      <c r="K57" s="2">
        <f>IFERROR(VALUE(Table145[[#This Row],[Inflation Annual Pct]])," ")</f>
        <v>20.212492502784698</v>
      </c>
      <c r="L57" s="2">
        <f>IFERROR(VALUE(Table145[[#This Row],[Cost of Living ]])," ")</f>
        <v>0</v>
      </c>
      <c r="M57" s="2" t="b">
        <f>ISNUMBER(Table145[[#This Row],[Inflation Rate]])</f>
        <v>1</v>
      </c>
      <c r="N57" s="2" t="b">
        <f>ISNUMBER(Table145[[#This Row],[Cost of Living]])</f>
        <v>1</v>
      </c>
      <c r="O57" s="2"/>
      <c r="P57" s="2"/>
      <c r="Q57" s="2"/>
      <c r="R57" s="2"/>
      <c r="S57" s="2"/>
      <c r="T57" s="2"/>
      <c r="U57" s="2"/>
      <c r="V57" s="2"/>
      <c r="W57" s="2"/>
    </row>
    <row r="58" spans="1:23" x14ac:dyDescent="0.35">
      <c r="A58" s="2" t="s">
        <v>77</v>
      </c>
      <c r="B58" s="2" t="s">
        <v>22</v>
      </c>
      <c r="C58" s="2" t="s">
        <v>3</v>
      </c>
      <c r="D58" s="2" t="s">
        <v>78</v>
      </c>
      <c r="E58" s="2" t="s">
        <v>79</v>
      </c>
      <c r="F58" s="2" t="s">
        <v>80</v>
      </c>
      <c r="G58" s="2" t="s">
        <v>81</v>
      </c>
      <c r="H58" s="2">
        <v>2024</v>
      </c>
      <c r="I58" s="2">
        <v>3.1434913650004099</v>
      </c>
      <c r="J58" s="2"/>
      <c r="K58" s="2">
        <f>IFERROR(VALUE(Table145[[#This Row],[Inflation Annual Pct]])," ")</f>
        <v>3.1434913650004099</v>
      </c>
      <c r="L58" s="2">
        <f>IFERROR(VALUE(Table145[[#This Row],[Cost of Living ]])," ")</f>
        <v>0</v>
      </c>
      <c r="M58" s="2" t="b">
        <f>ISNUMBER(Table145[[#This Row],[Inflation Rate]])</f>
        <v>1</v>
      </c>
      <c r="N58" s="2" t="b">
        <f>ISNUMBER(Table145[[#This Row],[Cost of Living]])</f>
        <v>1</v>
      </c>
      <c r="O58" s="2"/>
      <c r="P58" s="2"/>
      <c r="Q58" s="2"/>
      <c r="R58" s="2"/>
      <c r="S58" s="2"/>
      <c r="T58" s="2"/>
      <c r="U58" s="2"/>
      <c r="V58" s="2"/>
      <c r="W58" s="2"/>
    </row>
    <row r="59" spans="1:23" x14ac:dyDescent="0.35">
      <c r="A59" s="2" t="s">
        <v>82</v>
      </c>
      <c r="B59" s="2" t="s">
        <v>15</v>
      </c>
      <c r="C59" s="2" t="s">
        <v>16</v>
      </c>
      <c r="D59" s="2" t="s">
        <v>83</v>
      </c>
      <c r="E59" s="2" t="s">
        <v>84</v>
      </c>
      <c r="F59" s="2" t="s">
        <v>85</v>
      </c>
      <c r="G59" s="2" t="s">
        <v>86</v>
      </c>
      <c r="H59" s="2">
        <v>2024</v>
      </c>
      <c r="I59" s="2">
        <v>1.16093089640415</v>
      </c>
      <c r="J59" s="2"/>
      <c r="K59" s="2">
        <f>IFERROR(VALUE(Table145[[#This Row],[Inflation Annual Pct]])," ")</f>
        <v>1.16093089640415</v>
      </c>
      <c r="L59" s="2">
        <f>IFERROR(VALUE(Table145[[#This Row],[Cost of Living ]])," ")</f>
        <v>0</v>
      </c>
      <c r="M59" s="2" t="b">
        <f>ISNUMBER(Table145[[#This Row],[Inflation Rate]])</f>
        <v>1</v>
      </c>
      <c r="N59" s="2" t="b">
        <f>ISNUMBER(Table145[[#This Row],[Cost of Living]])</f>
        <v>1</v>
      </c>
      <c r="O59" s="2"/>
      <c r="P59" s="2"/>
      <c r="Q59" s="2"/>
      <c r="R59" s="2"/>
      <c r="S59" s="2"/>
      <c r="T59" s="2"/>
      <c r="U59" s="2"/>
      <c r="V59" s="2"/>
      <c r="W59" s="2"/>
    </row>
    <row r="60" spans="1:23" x14ac:dyDescent="0.35">
      <c r="A60" s="2" t="s">
        <v>87</v>
      </c>
      <c r="B60" s="2" t="s">
        <v>15</v>
      </c>
      <c r="C60" s="2" t="s">
        <v>9</v>
      </c>
      <c r="D60" s="2" t="s">
        <v>88</v>
      </c>
      <c r="E60" s="2" t="s">
        <v>89</v>
      </c>
      <c r="F60" s="2" t="s">
        <v>90</v>
      </c>
      <c r="G60" s="2" t="s">
        <v>91</v>
      </c>
      <c r="H60" s="2">
        <v>2024</v>
      </c>
      <c r="I60" s="2">
        <v>4.1908172134452304</v>
      </c>
      <c r="J60" s="2"/>
      <c r="K60" s="2">
        <f>IFERROR(VALUE(Table145[[#This Row],[Inflation Annual Pct]])," ")</f>
        <v>4.1908172134452304</v>
      </c>
      <c r="L60" s="2">
        <f>IFERROR(VALUE(Table145[[#This Row],[Cost of Living ]])," ")</f>
        <v>0</v>
      </c>
      <c r="M60" s="2" t="b">
        <f>ISNUMBER(Table145[[#This Row],[Inflation Rate]])</f>
        <v>1</v>
      </c>
      <c r="N60" s="2" t="b">
        <f>ISNUMBER(Table145[[#This Row],[Cost of Living]])</f>
        <v>1</v>
      </c>
      <c r="O60" s="2"/>
      <c r="P60" s="2"/>
      <c r="Q60" s="2"/>
      <c r="R60" s="2"/>
      <c r="S60" s="2"/>
      <c r="T60" s="2"/>
      <c r="U60" s="2"/>
      <c r="V60" s="2"/>
      <c r="W60" s="2"/>
    </row>
    <row r="61" spans="1:23" x14ac:dyDescent="0.35">
      <c r="A61" s="2" t="s">
        <v>98</v>
      </c>
      <c r="B61" s="2" t="s">
        <v>22</v>
      </c>
      <c r="C61" s="2" t="s">
        <v>3</v>
      </c>
      <c r="D61" s="2" t="s">
        <v>99</v>
      </c>
      <c r="E61" s="2" t="s">
        <v>100</v>
      </c>
      <c r="F61" s="2" t="s">
        <v>101</v>
      </c>
      <c r="G61" s="2" t="s">
        <v>102</v>
      </c>
      <c r="H61" s="2">
        <v>2024</v>
      </c>
      <c r="I61" s="2">
        <v>2.44651943006079</v>
      </c>
      <c r="J61" s="2"/>
      <c r="K61" s="2">
        <f>IFERROR(VALUE(Table145[[#This Row],[Inflation Annual Pct]])," ")</f>
        <v>2.44651943006079</v>
      </c>
      <c r="L61" s="2">
        <f>IFERROR(VALUE(Table145[[#This Row],[Cost of Living ]])," ")</f>
        <v>0</v>
      </c>
      <c r="M61" s="2" t="b">
        <f>ISNUMBER(Table145[[#This Row],[Inflation Rate]])</f>
        <v>1</v>
      </c>
      <c r="N61" s="2" t="b">
        <f>ISNUMBER(Table145[[#This Row],[Cost of Living]])</f>
        <v>1</v>
      </c>
      <c r="O61" s="2"/>
      <c r="P61" s="2"/>
      <c r="Q61" s="2"/>
      <c r="R61" s="2"/>
      <c r="S61" s="2"/>
      <c r="T61" s="2"/>
      <c r="U61" s="2"/>
      <c r="V61" s="2"/>
      <c r="W61" s="2"/>
    </row>
    <row r="62" spans="1:23" x14ac:dyDescent="0.35">
      <c r="A62" s="2" t="s">
        <v>108</v>
      </c>
      <c r="B62" s="2" t="s">
        <v>2</v>
      </c>
      <c r="C62" s="2" t="s">
        <v>3</v>
      </c>
      <c r="D62" s="2" t="s">
        <v>109</v>
      </c>
      <c r="E62" s="2" t="s">
        <v>110</v>
      </c>
      <c r="F62" s="2" t="s">
        <v>111</v>
      </c>
      <c r="G62" s="2" t="s">
        <v>112</v>
      </c>
      <c r="H62" s="2">
        <v>2024</v>
      </c>
      <c r="I62" s="2">
        <v>0.40916248908328601</v>
      </c>
      <c r="J62" s="2"/>
      <c r="K62" s="2">
        <f>IFERROR(VALUE(Table145[[#This Row],[Inflation Annual Pct]])," ")</f>
        <v>0.40916248908328601</v>
      </c>
      <c r="L62" s="2">
        <f>IFERROR(VALUE(Table145[[#This Row],[Cost of Living ]])," ")</f>
        <v>0</v>
      </c>
      <c r="M62" s="2" t="b">
        <f>ISNUMBER(Table145[[#This Row],[Inflation Rate]])</f>
        <v>1</v>
      </c>
      <c r="N62" s="2" t="b">
        <f>ISNUMBER(Table145[[#This Row],[Cost of Living]])</f>
        <v>1</v>
      </c>
      <c r="O62" s="2"/>
      <c r="P62" s="2"/>
      <c r="Q62" s="2"/>
      <c r="R62" s="2"/>
      <c r="S62" s="2"/>
      <c r="T62" s="2"/>
      <c r="U62" s="2"/>
      <c r="V62" s="2"/>
      <c r="W62" s="2"/>
    </row>
    <row r="63" spans="1:23" x14ac:dyDescent="0.35">
      <c r="A63" s="2" t="s">
        <v>113</v>
      </c>
      <c r="B63" s="2" t="s">
        <v>22</v>
      </c>
      <c r="C63" s="2" t="s">
        <v>23</v>
      </c>
      <c r="D63" s="2" t="s">
        <v>114</v>
      </c>
      <c r="E63" s="2" t="s">
        <v>115</v>
      </c>
      <c r="F63" s="2" t="s">
        <v>116</v>
      </c>
      <c r="G63" s="2" t="s">
        <v>117</v>
      </c>
      <c r="H63" s="2">
        <v>2023</v>
      </c>
      <c r="I63" s="2">
        <v>6.1059011284827998</v>
      </c>
      <c r="J63" s="2"/>
      <c r="K63" s="2">
        <f>IFERROR(VALUE(Table145[[#This Row],[Inflation Annual Pct]])," ")</f>
        <v>6.1059011284827998</v>
      </c>
      <c r="L63" s="2">
        <f>IFERROR(VALUE(Table145[[#This Row],[Cost of Living ]])," ")</f>
        <v>0</v>
      </c>
      <c r="M63" s="2" t="b">
        <f>ISNUMBER(Table145[[#This Row],[Inflation Rate]])</f>
        <v>1</v>
      </c>
      <c r="N63" s="2" t="b">
        <f>ISNUMBER(Table145[[#This Row],[Cost of Living]])</f>
        <v>1</v>
      </c>
      <c r="O63" s="2"/>
      <c r="P63" s="2"/>
      <c r="Q63" s="2"/>
      <c r="R63" s="2"/>
      <c r="S63" s="2"/>
      <c r="T63" s="2"/>
      <c r="U63" s="2"/>
      <c r="V63" s="2"/>
      <c r="W63" s="2"/>
    </row>
    <row r="64" spans="1:23" x14ac:dyDescent="0.35">
      <c r="A64" s="2" t="s">
        <v>118</v>
      </c>
      <c r="B64" s="2" t="s">
        <v>22</v>
      </c>
      <c r="C64" s="2" t="s">
        <v>23</v>
      </c>
      <c r="D64" s="2" t="s">
        <v>119</v>
      </c>
      <c r="E64" s="2" t="s">
        <v>120</v>
      </c>
      <c r="F64" s="2" t="s">
        <v>121</v>
      </c>
      <c r="G64" s="2" t="s">
        <v>122</v>
      </c>
      <c r="H64" s="2">
        <v>2024</v>
      </c>
      <c r="I64" s="2">
        <v>5.7853191042800498</v>
      </c>
      <c r="J64" s="2"/>
      <c r="K64" s="2">
        <f>IFERROR(VALUE(Table145[[#This Row],[Inflation Annual Pct]])," ")</f>
        <v>5.7853191042800498</v>
      </c>
      <c r="L64" s="2">
        <f>IFERROR(VALUE(Table145[[#This Row],[Cost of Living ]])," ")</f>
        <v>0</v>
      </c>
      <c r="M64" s="2" t="b">
        <f>ISNUMBER(Table145[[#This Row],[Inflation Rate]])</f>
        <v>1</v>
      </c>
      <c r="N64" s="2" t="b">
        <f>ISNUMBER(Table145[[#This Row],[Cost of Living]])</f>
        <v>1</v>
      </c>
      <c r="O64" s="2"/>
      <c r="P64" s="2"/>
      <c r="Q64" s="2"/>
      <c r="R64" s="2"/>
      <c r="S64" s="2"/>
      <c r="T64" s="2"/>
      <c r="U64" s="2"/>
      <c r="V64" s="2"/>
      <c r="W64" s="2"/>
    </row>
    <row r="65" spans="1:23" x14ac:dyDescent="0.35">
      <c r="A65" s="2" t="s">
        <v>123</v>
      </c>
      <c r="B65" s="2" t="s">
        <v>2</v>
      </c>
      <c r="C65" s="2" t="s">
        <v>23</v>
      </c>
      <c r="D65" s="2" t="s">
        <v>124</v>
      </c>
      <c r="E65" s="2" t="s">
        <v>125</v>
      </c>
      <c r="F65" s="2" t="s">
        <v>126</v>
      </c>
      <c r="G65" s="2" t="s">
        <v>127</v>
      </c>
      <c r="H65" s="2">
        <v>2024</v>
      </c>
      <c r="I65" s="2">
        <v>3.2895598595276798</v>
      </c>
      <c r="J65" s="2"/>
      <c r="K65" s="2">
        <f>IFERROR(VALUE(Table145[[#This Row],[Inflation Annual Pct]])," ")</f>
        <v>3.2895598595276798</v>
      </c>
      <c r="L65" s="2">
        <f>IFERROR(VALUE(Table145[[#This Row],[Cost of Living ]])," ")</f>
        <v>0</v>
      </c>
      <c r="M65" s="2" t="b">
        <f>ISNUMBER(Table145[[#This Row],[Inflation Rate]])</f>
        <v>1</v>
      </c>
      <c r="N65" s="2" t="b">
        <f>ISNUMBER(Table145[[#This Row],[Cost of Living]])</f>
        <v>1</v>
      </c>
      <c r="O65" s="2"/>
      <c r="P65" s="2"/>
      <c r="Q65" s="2"/>
      <c r="R65" s="2"/>
      <c r="S65" s="2"/>
      <c r="T65" s="2"/>
      <c r="U65" s="2"/>
      <c r="V65" s="2"/>
      <c r="W65" s="2"/>
    </row>
    <row r="66" spans="1:23" x14ac:dyDescent="0.35">
      <c r="A66" s="2" t="s">
        <v>128</v>
      </c>
      <c r="B66" s="2" t="s">
        <v>129</v>
      </c>
      <c r="C66" s="2" t="s">
        <v>3</v>
      </c>
      <c r="D66" s="2" t="s">
        <v>130</v>
      </c>
      <c r="E66" s="2" t="s">
        <v>131</v>
      </c>
      <c r="F66" s="2" t="s">
        <v>132</v>
      </c>
      <c r="G66" s="2"/>
      <c r="H66" s="2"/>
      <c r="I66" s="2"/>
      <c r="J66" s="2"/>
      <c r="K66" s="2">
        <f>IFERROR(VALUE(Table145[[#This Row],[Inflation Annual Pct]])," ")</f>
        <v>0</v>
      </c>
      <c r="L66" s="2">
        <f>IFERROR(VALUE(Table145[[#This Row],[Cost of Living ]])," ")</f>
        <v>0</v>
      </c>
      <c r="M66" s="2" t="b">
        <f>ISNUMBER(Table145[[#This Row],[Inflation Rate]])</f>
        <v>1</v>
      </c>
      <c r="N66" s="2" t="b">
        <f>ISNUMBER(Table145[[#This Row],[Cost of Living]])</f>
        <v>1</v>
      </c>
      <c r="O66" s="2"/>
      <c r="P66" s="2"/>
      <c r="Q66" s="2"/>
      <c r="R66" s="2"/>
      <c r="S66" s="2">
        <v>8.61</v>
      </c>
      <c r="T66" s="2"/>
      <c r="U66" s="2"/>
      <c r="V66" s="2"/>
      <c r="W66" s="2"/>
    </row>
    <row r="67" spans="1:23" x14ac:dyDescent="0.35">
      <c r="A67" s="2" t="s">
        <v>133</v>
      </c>
      <c r="B67" s="2" t="s">
        <v>2</v>
      </c>
      <c r="C67" s="2" t="s">
        <v>16</v>
      </c>
      <c r="D67" s="2" t="s">
        <v>134</v>
      </c>
      <c r="E67" s="2" t="s">
        <v>135</v>
      </c>
      <c r="F67" s="2" t="s">
        <v>136</v>
      </c>
      <c r="G67" s="2" t="s">
        <v>137</v>
      </c>
      <c r="H67" s="2">
        <v>2024</v>
      </c>
      <c r="I67" s="2">
        <v>5.0997656831742697</v>
      </c>
      <c r="J67" s="2"/>
      <c r="K67" s="2">
        <f>IFERROR(VALUE(Table145[[#This Row],[Inflation Annual Pct]])," ")</f>
        <v>5.0997656831742697</v>
      </c>
      <c r="L67" s="2">
        <f>IFERROR(VALUE(Table145[[#This Row],[Cost of Living ]])," ")</f>
        <v>0</v>
      </c>
      <c r="M67" s="2" t="b">
        <f>ISNUMBER(Table145[[#This Row],[Inflation Rate]])</f>
        <v>1</v>
      </c>
      <c r="N67" s="2" t="b">
        <f>ISNUMBER(Table145[[#This Row],[Cost of Living]])</f>
        <v>1</v>
      </c>
      <c r="O67" s="2"/>
      <c r="P67" s="2"/>
      <c r="Q67" s="2"/>
      <c r="R67" s="2"/>
      <c r="S67" s="2"/>
      <c r="T67" s="2"/>
      <c r="U67" s="2"/>
      <c r="V67" s="2"/>
      <c r="W67" s="2"/>
    </row>
    <row r="68" spans="1:23" x14ac:dyDescent="0.35">
      <c r="A68" s="2" t="s">
        <v>148</v>
      </c>
      <c r="B68" s="2" t="s">
        <v>48</v>
      </c>
      <c r="C68" s="2" t="s">
        <v>3</v>
      </c>
      <c r="D68" s="2" t="s">
        <v>149</v>
      </c>
      <c r="E68" s="2" t="s">
        <v>150</v>
      </c>
      <c r="F68" s="2" t="s">
        <v>151</v>
      </c>
      <c r="G68" s="2" t="s">
        <v>152</v>
      </c>
      <c r="H68" s="2">
        <v>2024</v>
      </c>
      <c r="I68" s="2">
        <v>-0.38867416503646102</v>
      </c>
      <c r="J68" s="2"/>
      <c r="K68" s="2">
        <f>IFERROR(VALUE(Table145[[#This Row],[Inflation Annual Pct]])," ")</f>
        <v>-0.38867416503646102</v>
      </c>
      <c r="L68" s="2">
        <f>IFERROR(VALUE(Table145[[#This Row],[Cost of Living ]])," ")</f>
        <v>0</v>
      </c>
      <c r="M68" s="2" t="b">
        <f>ISNUMBER(Table145[[#This Row],[Inflation Rate]])</f>
        <v>1</v>
      </c>
      <c r="N68" s="2" t="b">
        <f>ISNUMBER(Table145[[#This Row],[Cost of Living]])</f>
        <v>1</v>
      </c>
      <c r="O68" s="2"/>
      <c r="P68" s="2"/>
      <c r="Q68" s="2"/>
      <c r="R68" s="2"/>
      <c r="S68" s="2"/>
      <c r="T68" s="2"/>
      <c r="U68" s="2"/>
      <c r="V68" s="2"/>
      <c r="W68" s="2"/>
    </row>
    <row r="69" spans="1:23" x14ac:dyDescent="0.35">
      <c r="A69" s="2" t="s">
        <v>153</v>
      </c>
      <c r="B69" s="2" t="s">
        <v>93</v>
      </c>
      <c r="C69" s="2" t="s">
        <v>16</v>
      </c>
      <c r="D69" s="2" t="s">
        <v>154</v>
      </c>
      <c r="E69" s="2" t="s">
        <v>155</v>
      </c>
      <c r="F69" s="2" t="s">
        <v>156</v>
      </c>
      <c r="G69" s="2" t="s">
        <v>157</v>
      </c>
      <c r="H69" s="2">
        <v>2024</v>
      </c>
      <c r="I69" s="2">
        <v>2.7613156962409802</v>
      </c>
      <c r="J69" s="2"/>
      <c r="K69" s="2">
        <f>IFERROR(VALUE(Table145[[#This Row],[Inflation Annual Pct]])," ")</f>
        <v>2.7613156962409802</v>
      </c>
      <c r="L69" s="2">
        <f>IFERROR(VALUE(Table145[[#This Row],[Cost of Living ]])," ")</f>
        <v>0</v>
      </c>
      <c r="M69" s="2" t="b">
        <f>ISNUMBER(Table145[[#This Row],[Inflation Rate]])</f>
        <v>1</v>
      </c>
      <c r="N69" s="2" t="b">
        <f>ISNUMBER(Table145[[#This Row],[Cost of Living]])</f>
        <v>1</v>
      </c>
      <c r="O69" s="2"/>
      <c r="P69" s="2"/>
      <c r="Q69" s="2"/>
      <c r="R69" s="2"/>
      <c r="S69" s="2"/>
      <c r="T69" s="2"/>
      <c r="U69" s="2"/>
      <c r="V69" s="2"/>
      <c r="W69" s="2"/>
    </row>
    <row r="70" spans="1:23" x14ac:dyDescent="0.35">
      <c r="A70" s="2" t="s">
        <v>158</v>
      </c>
      <c r="B70" s="2" t="s">
        <v>15</v>
      </c>
      <c r="C70" s="2" t="s">
        <v>23</v>
      </c>
      <c r="D70" s="2" t="s">
        <v>159</v>
      </c>
      <c r="E70" s="2" t="s">
        <v>160</v>
      </c>
      <c r="F70" s="2" t="s">
        <v>161</v>
      </c>
      <c r="G70" s="2" t="s">
        <v>162</v>
      </c>
      <c r="H70" s="2">
        <v>2024</v>
      </c>
      <c r="I70" s="2">
        <v>2.8183513167625098</v>
      </c>
      <c r="J70" s="2"/>
      <c r="K70" s="2">
        <f>IFERROR(VALUE(Table145[[#This Row],[Inflation Annual Pct]])," ")</f>
        <v>2.8183513167625098</v>
      </c>
      <c r="L70" s="2">
        <f>IFERROR(VALUE(Table145[[#This Row],[Cost of Living ]])," ")</f>
        <v>0</v>
      </c>
      <c r="M70" s="2" t="b">
        <f>ISNUMBER(Table145[[#This Row],[Inflation Rate]])</f>
        <v>1</v>
      </c>
      <c r="N70" s="2" t="b">
        <f>ISNUMBER(Table145[[#This Row],[Cost of Living]])</f>
        <v>1</v>
      </c>
      <c r="O70" s="2"/>
      <c r="P70" s="2"/>
      <c r="Q70" s="2"/>
      <c r="R70" s="2"/>
      <c r="S70" s="2"/>
      <c r="T70" s="2"/>
      <c r="U70" s="2"/>
      <c r="V70" s="2"/>
      <c r="W70" s="2"/>
    </row>
    <row r="71" spans="1:23" x14ac:dyDescent="0.35">
      <c r="A71" s="2" t="s">
        <v>163</v>
      </c>
      <c r="B71" s="2" t="s">
        <v>15</v>
      </c>
      <c r="C71" s="2" t="s">
        <v>9</v>
      </c>
      <c r="D71" s="2" t="s">
        <v>164</v>
      </c>
      <c r="E71" s="2" t="s">
        <v>165</v>
      </c>
      <c r="F71" s="2" t="s">
        <v>166</v>
      </c>
      <c r="G71" s="2" t="s">
        <v>167</v>
      </c>
      <c r="H71" s="2">
        <v>2024</v>
      </c>
      <c r="I71" s="2">
        <v>1.47733600718744</v>
      </c>
      <c r="J71" s="2"/>
      <c r="K71" s="2">
        <f>IFERROR(VALUE(Table145[[#This Row],[Inflation Annual Pct]])," ")</f>
        <v>1.47733600718744</v>
      </c>
      <c r="L71" s="2">
        <f>IFERROR(VALUE(Table145[[#This Row],[Cost of Living ]])," ")</f>
        <v>0</v>
      </c>
      <c r="M71" s="2" t="b">
        <f>ISNUMBER(Table145[[#This Row],[Inflation Rate]])</f>
        <v>1</v>
      </c>
      <c r="N71" s="2" t="b">
        <f>ISNUMBER(Table145[[#This Row],[Cost of Living]])</f>
        <v>1</v>
      </c>
      <c r="O71" s="2"/>
      <c r="P71" s="2"/>
      <c r="Q71" s="2"/>
      <c r="R71" s="2"/>
      <c r="S71" s="2"/>
      <c r="T71" s="2"/>
      <c r="U71" s="2"/>
      <c r="V71" s="2"/>
      <c r="W71" s="2"/>
    </row>
    <row r="72" spans="1:23" x14ac:dyDescent="0.35">
      <c r="A72" s="2" t="s">
        <v>178</v>
      </c>
      <c r="B72" s="2" t="s">
        <v>22</v>
      </c>
      <c r="C72" s="2" t="s">
        <v>3</v>
      </c>
      <c r="D72" s="2"/>
      <c r="E72" s="2"/>
      <c r="F72" s="2"/>
      <c r="G72" s="2"/>
      <c r="H72" s="2"/>
      <c r="I72" s="2"/>
      <c r="J72" s="2"/>
      <c r="K72" s="2">
        <f>IFERROR(VALUE(Table145[[#This Row],[Inflation Annual Pct]])," ")</f>
        <v>0</v>
      </c>
      <c r="L72" s="2">
        <f>IFERROR(VALUE(Table145[[#This Row],[Cost of Living ]])," ")</f>
        <v>0</v>
      </c>
      <c r="M72" s="2" t="b">
        <f>ISNUMBER(Table145[[#This Row],[Inflation Rate]])</f>
        <v>1</v>
      </c>
      <c r="N72" s="2" t="b">
        <f>ISNUMBER(Table145[[#This Row],[Cost of Living]])</f>
        <v>1</v>
      </c>
      <c r="O72" s="2"/>
      <c r="P72" s="2"/>
      <c r="Q72" s="2"/>
      <c r="R72" s="2"/>
      <c r="S72" s="2"/>
      <c r="T72" s="2"/>
      <c r="U72" s="2"/>
      <c r="V72" s="2"/>
      <c r="W72" s="2"/>
    </row>
    <row r="73" spans="1:23" x14ac:dyDescent="0.35">
      <c r="A73" s="2" t="s">
        <v>179</v>
      </c>
      <c r="B73" s="2" t="s">
        <v>2</v>
      </c>
      <c r="C73" s="2" t="s">
        <v>3</v>
      </c>
      <c r="D73" s="2" t="s">
        <v>180</v>
      </c>
      <c r="E73" s="2" t="s">
        <v>181</v>
      </c>
      <c r="F73" s="2" t="s">
        <v>182</v>
      </c>
      <c r="G73" s="2" t="s">
        <v>183</v>
      </c>
      <c r="H73" s="2">
        <v>2024</v>
      </c>
      <c r="I73" s="2">
        <v>4.2976389157252397</v>
      </c>
      <c r="J73" s="2"/>
      <c r="K73" s="2">
        <f>IFERROR(VALUE(Table145[[#This Row],[Inflation Annual Pct]])," ")</f>
        <v>4.2976389157252397</v>
      </c>
      <c r="L73" s="2">
        <f>IFERROR(VALUE(Table145[[#This Row],[Cost of Living ]])," ")</f>
        <v>0</v>
      </c>
      <c r="M73" s="2" t="b">
        <f>ISNUMBER(Table145[[#This Row],[Inflation Rate]])</f>
        <v>1</v>
      </c>
      <c r="N73" s="2" t="b">
        <f>ISNUMBER(Table145[[#This Row],[Cost of Living]])</f>
        <v>1</v>
      </c>
      <c r="O73" s="2"/>
      <c r="P73" s="2"/>
      <c r="Q73" s="2"/>
      <c r="R73" s="2"/>
      <c r="S73" s="2"/>
      <c r="T73" s="2"/>
      <c r="U73" s="2"/>
      <c r="V73" s="2"/>
      <c r="W73" s="2"/>
    </row>
    <row r="74" spans="1:23" x14ac:dyDescent="0.35">
      <c r="A74" s="2" t="s">
        <v>189</v>
      </c>
      <c r="B74" s="2" t="s">
        <v>15</v>
      </c>
      <c r="C74" s="2" t="s">
        <v>16</v>
      </c>
      <c r="D74" s="2" t="s">
        <v>190</v>
      </c>
      <c r="E74" s="2" t="s">
        <v>191</v>
      </c>
      <c r="F74" s="2" t="s">
        <v>192</v>
      </c>
      <c r="G74" s="2" t="s">
        <v>193</v>
      </c>
      <c r="H74" s="2">
        <v>2024</v>
      </c>
      <c r="I74" s="2">
        <v>3.4505302813101899</v>
      </c>
      <c r="J74" s="2"/>
      <c r="K74" s="2">
        <f>IFERROR(VALUE(Table145[[#This Row],[Inflation Annual Pct]])," ")</f>
        <v>3.4505302813101899</v>
      </c>
      <c r="L74" s="2">
        <f>IFERROR(VALUE(Table145[[#This Row],[Cost of Living ]])," ")</f>
        <v>0</v>
      </c>
      <c r="M74" s="2" t="b">
        <f>ISNUMBER(Table145[[#This Row],[Inflation Rate]])</f>
        <v>1</v>
      </c>
      <c r="N74" s="2" t="b">
        <f>ISNUMBER(Table145[[#This Row],[Cost of Living]])</f>
        <v>1</v>
      </c>
      <c r="O74" s="2"/>
      <c r="P74" s="2"/>
      <c r="Q74" s="2"/>
      <c r="R74" s="2"/>
      <c r="S74" s="2"/>
      <c r="T74" s="2"/>
      <c r="U74" s="2"/>
      <c r="V74" s="2"/>
      <c r="W74" s="2"/>
    </row>
    <row r="75" spans="1:23" x14ac:dyDescent="0.35">
      <c r="A75" s="2" t="s">
        <v>194</v>
      </c>
      <c r="B75" s="2" t="s">
        <v>15</v>
      </c>
      <c r="C75" s="2" t="s">
        <v>16</v>
      </c>
      <c r="D75" s="2" t="s">
        <v>195</v>
      </c>
      <c r="E75" s="2" t="s">
        <v>196</v>
      </c>
      <c r="F75" s="2" t="s">
        <v>197</v>
      </c>
      <c r="G75" s="2" t="s">
        <v>198</v>
      </c>
      <c r="H75" s="2">
        <v>2024</v>
      </c>
      <c r="I75" s="2">
        <v>4.53331349711606</v>
      </c>
      <c r="J75" s="2"/>
      <c r="K75" s="2">
        <f>IFERROR(VALUE(Table145[[#This Row],[Inflation Annual Pct]])," ")</f>
        <v>4.53331349711606</v>
      </c>
      <c r="L75" s="2">
        <f>IFERROR(VALUE(Table145[[#This Row],[Cost of Living ]])," ")</f>
        <v>0</v>
      </c>
      <c r="M75" s="2" t="b">
        <f>ISNUMBER(Table145[[#This Row],[Inflation Rate]])</f>
        <v>1</v>
      </c>
      <c r="N75" s="2" t="b">
        <f>ISNUMBER(Table145[[#This Row],[Cost of Living]])</f>
        <v>1</v>
      </c>
      <c r="O75" s="2"/>
      <c r="P75" s="2"/>
      <c r="Q75" s="2"/>
      <c r="R75" s="2"/>
      <c r="S75" s="2"/>
      <c r="T75" s="2"/>
      <c r="U75" s="2"/>
      <c r="V75" s="2"/>
      <c r="W75" s="2"/>
    </row>
    <row r="76" spans="1:23" x14ac:dyDescent="0.35">
      <c r="A76" s="2" t="s">
        <v>199</v>
      </c>
      <c r="B76" s="2" t="s">
        <v>15</v>
      </c>
      <c r="C76" s="2" t="s">
        <v>9</v>
      </c>
      <c r="D76" s="2" t="s">
        <v>200</v>
      </c>
      <c r="E76" s="2" t="s">
        <v>201</v>
      </c>
      <c r="F76" s="2" t="s">
        <v>202</v>
      </c>
      <c r="G76" s="2"/>
      <c r="H76" s="2"/>
      <c r="I76" s="2"/>
      <c r="J76" s="2"/>
      <c r="K76" s="2">
        <f>IFERROR(VALUE(Table145[[#This Row],[Inflation Annual Pct]])," ")</f>
        <v>0</v>
      </c>
      <c r="L76" s="2">
        <f>IFERROR(VALUE(Table145[[#This Row],[Cost of Living ]])," ")</f>
        <v>0</v>
      </c>
      <c r="M76" s="2" t="b">
        <f>ISNUMBER(Table145[[#This Row],[Inflation Rate]])</f>
        <v>1</v>
      </c>
      <c r="N76" s="2" t="b">
        <f>ISNUMBER(Table145[[#This Row],[Cost of Living]])</f>
        <v>1</v>
      </c>
      <c r="O76" s="2"/>
      <c r="P76" s="2"/>
      <c r="Q76" s="2"/>
      <c r="R76" s="2"/>
      <c r="S76" s="2"/>
      <c r="T76" s="2"/>
      <c r="U76" s="2"/>
      <c r="V76" s="2"/>
      <c r="W76" s="2"/>
    </row>
    <row r="77" spans="1:23" x14ac:dyDescent="0.35">
      <c r="A77" s="2" t="s">
        <v>203</v>
      </c>
      <c r="B77" s="2" t="s">
        <v>15</v>
      </c>
      <c r="C77" s="2" t="s">
        <v>16</v>
      </c>
      <c r="D77" s="2" t="s">
        <v>204</v>
      </c>
      <c r="E77" s="2" t="s">
        <v>205</v>
      </c>
      <c r="F77" s="2" t="s">
        <v>206</v>
      </c>
      <c r="G77" s="2" t="s">
        <v>207</v>
      </c>
      <c r="H77" s="2">
        <v>2024</v>
      </c>
      <c r="I77" s="2">
        <v>3.0914363091916601</v>
      </c>
      <c r="J77" s="2"/>
      <c r="K77" s="2">
        <f>IFERROR(VALUE(Table145[[#This Row],[Inflation Annual Pct]])," ")</f>
        <v>3.0914363091916601</v>
      </c>
      <c r="L77" s="2">
        <f>IFERROR(VALUE(Table145[[#This Row],[Cost of Living ]])," ")</f>
        <v>0</v>
      </c>
      <c r="M77" s="2" t="b">
        <f>ISNUMBER(Table145[[#This Row],[Inflation Rate]])</f>
        <v>1</v>
      </c>
      <c r="N77" s="2" t="b">
        <f>ISNUMBER(Table145[[#This Row],[Cost of Living]])</f>
        <v>1</v>
      </c>
      <c r="O77" s="2"/>
      <c r="P77" s="2"/>
      <c r="Q77" s="2"/>
      <c r="R77" s="2"/>
      <c r="S77" s="2"/>
      <c r="T77" s="2"/>
      <c r="U77" s="2"/>
      <c r="V77" s="2"/>
      <c r="W77" s="2"/>
    </row>
    <row r="78" spans="1:23" x14ac:dyDescent="0.35">
      <c r="A78" s="2" t="s">
        <v>208</v>
      </c>
      <c r="B78" s="2" t="s">
        <v>2</v>
      </c>
      <c r="C78" s="2" t="s">
        <v>23</v>
      </c>
      <c r="D78" s="2" t="s">
        <v>209</v>
      </c>
      <c r="E78" s="2" t="s">
        <v>210</v>
      </c>
      <c r="F78" s="2" t="s">
        <v>211</v>
      </c>
      <c r="G78" s="2" t="s">
        <v>212</v>
      </c>
      <c r="H78" s="2">
        <v>2024</v>
      </c>
      <c r="I78" s="2">
        <v>6.6090859372822797</v>
      </c>
      <c r="J78" s="2"/>
      <c r="K78" s="2">
        <f>IFERROR(VALUE(Table145[[#This Row],[Inflation Annual Pct]])," ")</f>
        <v>6.6090859372822797</v>
      </c>
      <c r="L78" s="2">
        <f>IFERROR(VALUE(Table145[[#This Row],[Cost of Living ]])," ")</f>
        <v>0</v>
      </c>
      <c r="M78" s="2" t="b">
        <f>ISNUMBER(Table145[[#This Row],[Inflation Rate]])</f>
        <v>1</v>
      </c>
      <c r="N78" s="2" t="b">
        <f>ISNUMBER(Table145[[#This Row],[Cost of Living]])</f>
        <v>1</v>
      </c>
      <c r="O78" s="2"/>
      <c r="P78" s="2"/>
      <c r="Q78" s="2"/>
      <c r="R78" s="2"/>
      <c r="S78" s="2"/>
      <c r="T78" s="2"/>
      <c r="U78" s="2"/>
      <c r="V78" s="2"/>
      <c r="W78" s="2"/>
    </row>
    <row r="79" spans="1:23" x14ac:dyDescent="0.35">
      <c r="A79" s="2" t="s">
        <v>213</v>
      </c>
      <c r="B79" s="2" t="s">
        <v>15</v>
      </c>
      <c r="C79" s="2" t="s">
        <v>16</v>
      </c>
      <c r="D79" s="2" t="s">
        <v>214</v>
      </c>
      <c r="E79" s="2" t="s">
        <v>215</v>
      </c>
      <c r="F79" s="2" t="s">
        <v>216</v>
      </c>
      <c r="G79" s="2" t="s">
        <v>217</v>
      </c>
      <c r="H79" s="2">
        <v>2024</v>
      </c>
      <c r="I79" s="2">
        <v>5.0519260958821803</v>
      </c>
      <c r="J79" s="2"/>
      <c r="K79" s="2">
        <f>IFERROR(VALUE(Table145[[#This Row],[Inflation Annual Pct]])," ")</f>
        <v>5.0519260958821803</v>
      </c>
      <c r="L79" s="2">
        <f>IFERROR(VALUE(Table145[[#This Row],[Cost of Living ]])," ")</f>
        <v>0</v>
      </c>
      <c r="M79" s="2" t="b">
        <f>ISNUMBER(Table145[[#This Row],[Inflation Rate]])</f>
        <v>1</v>
      </c>
      <c r="N79" s="2" t="b">
        <f>ISNUMBER(Table145[[#This Row],[Cost of Living]])</f>
        <v>1</v>
      </c>
      <c r="O79" s="2"/>
      <c r="P79" s="2"/>
      <c r="Q79" s="2"/>
      <c r="R79" s="2"/>
      <c r="S79" s="2"/>
      <c r="T79" s="2"/>
      <c r="U79" s="2"/>
      <c r="V79" s="2"/>
      <c r="W79" s="2"/>
    </row>
    <row r="80" spans="1:23" x14ac:dyDescent="0.35">
      <c r="A80" s="2" t="s">
        <v>218</v>
      </c>
      <c r="B80" s="2" t="s">
        <v>15</v>
      </c>
      <c r="C80" s="2" t="s">
        <v>23</v>
      </c>
      <c r="D80" s="2" t="s">
        <v>219</v>
      </c>
      <c r="E80" s="2" t="s">
        <v>220</v>
      </c>
      <c r="F80" s="2" t="s">
        <v>221</v>
      </c>
      <c r="G80" s="2" t="s">
        <v>222</v>
      </c>
      <c r="H80" s="2">
        <v>2024</v>
      </c>
      <c r="I80" s="2">
        <v>1.0481700109196499</v>
      </c>
      <c r="J80" s="2"/>
      <c r="K80" s="2">
        <f>IFERROR(VALUE(Table145[[#This Row],[Inflation Annual Pct]])," ")</f>
        <v>1.0481700109196499</v>
      </c>
      <c r="L80" s="2">
        <f>IFERROR(VALUE(Table145[[#This Row],[Cost of Living ]])," ")</f>
        <v>0</v>
      </c>
      <c r="M80" s="2" t="b">
        <f>ISNUMBER(Table145[[#This Row],[Inflation Rate]])</f>
        <v>1</v>
      </c>
      <c r="N80" s="2" t="b">
        <f>ISNUMBER(Table145[[#This Row],[Cost of Living]])</f>
        <v>1</v>
      </c>
      <c r="O80" s="2"/>
      <c r="P80" s="2"/>
      <c r="Q80" s="2"/>
      <c r="R80" s="2"/>
      <c r="S80" s="2"/>
      <c r="T80" s="2"/>
      <c r="U80" s="2"/>
      <c r="V80" s="2"/>
      <c r="W80" s="2"/>
    </row>
    <row r="81" spans="1:23" x14ac:dyDescent="0.35">
      <c r="A81" s="2" t="s">
        <v>223</v>
      </c>
      <c r="B81" s="2" t="s">
        <v>2</v>
      </c>
      <c r="C81" s="2" t="s">
        <v>3</v>
      </c>
      <c r="D81" s="2" t="s">
        <v>224</v>
      </c>
      <c r="E81" s="2" t="s">
        <v>225</v>
      </c>
      <c r="F81" s="2" t="s">
        <v>226</v>
      </c>
      <c r="G81" s="2" t="s">
        <v>227</v>
      </c>
      <c r="H81" s="2">
        <v>2024</v>
      </c>
      <c r="I81" s="2">
        <v>-0.41285300104706901</v>
      </c>
      <c r="J81" s="2"/>
      <c r="K81" s="2">
        <f>IFERROR(VALUE(Table145[[#This Row],[Inflation Annual Pct]])," ")</f>
        <v>-0.41285300104706901</v>
      </c>
      <c r="L81" s="2">
        <f>IFERROR(VALUE(Table145[[#This Row],[Cost of Living ]])," ")</f>
        <v>0</v>
      </c>
      <c r="M81" s="2" t="b">
        <f>ISNUMBER(Table145[[#This Row],[Inflation Rate]])</f>
        <v>1</v>
      </c>
      <c r="N81" s="2" t="b">
        <f>ISNUMBER(Table145[[#This Row],[Cost of Living]])</f>
        <v>1</v>
      </c>
      <c r="O81" s="2"/>
      <c r="P81" s="2"/>
      <c r="Q81" s="2"/>
      <c r="R81" s="2"/>
      <c r="S81" s="2"/>
      <c r="T81" s="2"/>
      <c r="U81" s="2"/>
      <c r="V81" s="2"/>
      <c r="W81" s="2"/>
    </row>
    <row r="82" spans="1:23" x14ac:dyDescent="0.35">
      <c r="A82" s="2" t="s">
        <v>228</v>
      </c>
      <c r="B82" s="2" t="s">
        <v>2</v>
      </c>
      <c r="C82" s="2" t="s">
        <v>23</v>
      </c>
      <c r="D82" s="2" t="s">
        <v>229</v>
      </c>
      <c r="E82" s="2" t="s">
        <v>230</v>
      </c>
      <c r="F82" s="2" t="s">
        <v>231</v>
      </c>
      <c r="G82" s="2"/>
      <c r="H82" s="2"/>
      <c r="I82" s="2"/>
      <c r="J82" s="2"/>
      <c r="K82" s="2">
        <f>IFERROR(VALUE(Table145[[#This Row],[Inflation Annual Pct]])," ")</f>
        <v>0</v>
      </c>
      <c r="L82" s="2">
        <f>IFERROR(VALUE(Table145[[#This Row],[Cost of Living ]])," ")</f>
        <v>0</v>
      </c>
      <c r="M82" s="2" t="b">
        <f>ISNUMBER(Table145[[#This Row],[Inflation Rate]])</f>
        <v>1</v>
      </c>
      <c r="N82" s="2" t="b">
        <f>ISNUMBER(Table145[[#This Row],[Cost of Living]])</f>
        <v>1</v>
      </c>
      <c r="O82" s="2"/>
      <c r="P82" s="2"/>
      <c r="Q82" s="2"/>
      <c r="R82" s="2"/>
      <c r="S82" s="2"/>
      <c r="T82" s="2"/>
      <c r="U82" s="2"/>
      <c r="V82" s="2"/>
      <c r="W82" s="2"/>
    </row>
    <row r="83" spans="1:23" x14ac:dyDescent="0.35">
      <c r="A83" s="2" t="s">
        <v>232</v>
      </c>
      <c r="B83" s="2" t="s">
        <v>2</v>
      </c>
      <c r="C83" s="2" t="s">
        <v>3</v>
      </c>
      <c r="D83" s="2" t="s">
        <v>233</v>
      </c>
      <c r="E83" s="2"/>
      <c r="F83" s="2"/>
      <c r="G83" s="2"/>
      <c r="H83" s="2"/>
      <c r="I83" s="2"/>
      <c r="J83" s="2"/>
      <c r="K83" s="2">
        <f>IFERROR(VALUE(Table145[[#This Row],[Inflation Annual Pct]])," ")</f>
        <v>0</v>
      </c>
      <c r="L83" s="2">
        <f>IFERROR(VALUE(Table145[[#This Row],[Cost of Living ]])," ")</f>
        <v>0</v>
      </c>
      <c r="M83" s="2" t="b">
        <f>ISNUMBER(Table145[[#This Row],[Inflation Rate]])</f>
        <v>1</v>
      </c>
      <c r="N83" s="2" t="b">
        <f>ISNUMBER(Table145[[#This Row],[Cost of Living]])</f>
        <v>1</v>
      </c>
      <c r="O83" s="2"/>
      <c r="P83" s="2"/>
      <c r="Q83" s="2"/>
      <c r="R83" s="2"/>
      <c r="S83" s="2"/>
      <c r="T83" s="2"/>
      <c r="U83" s="2"/>
      <c r="V83" s="2"/>
      <c r="W83" s="2"/>
    </row>
    <row r="84" spans="1:23" x14ac:dyDescent="0.35">
      <c r="A84" s="2" t="s">
        <v>238</v>
      </c>
      <c r="B84" s="2" t="s">
        <v>22</v>
      </c>
      <c r="C84" s="2" t="s">
        <v>3</v>
      </c>
      <c r="D84" s="2" t="s">
        <v>239</v>
      </c>
      <c r="E84" s="2" t="s">
        <v>240</v>
      </c>
      <c r="F84" s="2" t="s">
        <v>241</v>
      </c>
      <c r="G84" s="2" t="s">
        <v>242</v>
      </c>
      <c r="H84" s="2">
        <v>2024</v>
      </c>
      <c r="I84" s="2">
        <v>1.8002301862482399</v>
      </c>
      <c r="J84" s="2"/>
      <c r="K84" s="2">
        <f>IFERROR(VALUE(Table145[[#This Row],[Inflation Annual Pct]])," ")</f>
        <v>1.8002301862482399</v>
      </c>
      <c r="L84" s="2">
        <f>IFERROR(VALUE(Table145[[#This Row],[Cost of Living ]])," ")</f>
        <v>0</v>
      </c>
      <c r="M84" s="2" t="b">
        <f>ISNUMBER(Table145[[#This Row],[Inflation Rate]])</f>
        <v>1</v>
      </c>
      <c r="N84" s="2" t="b">
        <f>ISNUMBER(Table145[[#This Row],[Cost of Living]])</f>
        <v>1</v>
      </c>
      <c r="O84" s="2"/>
      <c r="P84" s="2"/>
      <c r="Q84" s="2"/>
      <c r="R84" s="2"/>
      <c r="S84" s="2"/>
      <c r="T84" s="2"/>
      <c r="U84" s="2"/>
      <c r="V84" s="2"/>
      <c r="W84" s="2"/>
    </row>
    <row r="85" spans="1:23" x14ac:dyDescent="0.35">
      <c r="A85" s="2" t="s">
        <v>243</v>
      </c>
      <c r="B85" s="2" t="s">
        <v>22</v>
      </c>
      <c r="C85" s="2" t="s">
        <v>3</v>
      </c>
      <c r="D85" s="2" t="s">
        <v>244</v>
      </c>
      <c r="E85" s="2" t="s">
        <v>245</v>
      </c>
      <c r="F85" s="2" t="s">
        <v>246</v>
      </c>
      <c r="G85" s="2" t="s">
        <v>247</v>
      </c>
      <c r="H85" s="2">
        <v>2024</v>
      </c>
      <c r="I85" s="2">
        <v>2.4353120243531401</v>
      </c>
      <c r="J85" s="2"/>
      <c r="K85" s="2">
        <f>IFERROR(VALUE(Table145[[#This Row],[Inflation Annual Pct]])," ")</f>
        <v>2.4353120243531401</v>
      </c>
      <c r="L85" s="2">
        <f>IFERROR(VALUE(Table145[[#This Row],[Cost of Living ]])," ")</f>
        <v>0</v>
      </c>
      <c r="M85" s="2" t="b">
        <f>ISNUMBER(Table145[[#This Row],[Inflation Rate]])</f>
        <v>1</v>
      </c>
      <c r="N85" s="2" t="b">
        <f>ISNUMBER(Table145[[#This Row],[Cost of Living]])</f>
        <v>1</v>
      </c>
      <c r="O85" s="2"/>
      <c r="P85" s="2"/>
      <c r="Q85" s="2"/>
      <c r="R85" s="2"/>
      <c r="S85" s="2"/>
      <c r="T85" s="2"/>
      <c r="U85" s="2"/>
      <c r="V85" s="2"/>
      <c r="W85" s="2"/>
    </row>
    <row r="86" spans="1:23" x14ac:dyDescent="0.35">
      <c r="A86" s="2" t="s">
        <v>253</v>
      </c>
      <c r="B86" s="2" t="s">
        <v>8</v>
      </c>
      <c r="C86" s="2" t="s">
        <v>16</v>
      </c>
      <c r="D86" s="2" t="s">
        <v>253</v>
      </c>
      <c r="E86" s="2" t="s">
        <v>254</v>
      </c>
      <c r="F86" s="2" t="s">
        <v>255</v>
      </c>
      <c r="G86" s="2" t="s">
        <v>256</v>
      </c>
      <c r="H86" s="2">
        <v>2024</v>
      </c>
      <c r="I86" s="2">
        <v>2.1120116728496998</v>
      </c>
      <c r="J86" s="2"/>
      <c r="K86" s="2">
        <f>IFERROR(VALUE(Table145[[#This Row],[Inflation Annual Pct]])," ")</f>
        <v>2.1120116728496998</v>
      </c>
      <c r="L86" s="2">
        <f>IFERROR(VALUE(Table145[[#This Row],[Cost of Living ]])," ")</f>
        <v>0</v>
      </c>
      <c r="M86" s="2" t="b">
        <f>ISNUMBER(Table145[[#This Row],[Inflation Rate]])</f>
        <v>1</v>
      </c>
      <c r="N86" s="2" t="b">
        <f>ISNUMBER(Table145[[#This Row],[Cost of Living]])</f>
        <v>1</v>
      </c>
      <c r="O86" s="2"/>
      <c r="P86" s="2"/>
      <c r="Q86" s="2"/>
      <c r="R86" s="2"/>
      <c r="S86" s="2">
        <v>9.5299999999999994</v>
      </c>
      <c r="T86" s="2"/>
      <c r="U86" s="2"/>
      <c r="V86" s="2"/>
      <c r="W86" s="2"/>
    </row>
    <row r="87" spans="1:23" x14ac:dyDescent="0.35">
      <c r="A87" s="2" t="s">
        <v>257</v>
      </c>
      <c r="B87" s="2" t="s">
        <v>2</v>
      </c>
      <c r="C87" s="2" t="s">
        <v>23</v>
      </c>
      <c r="D87" s="2" t="s">
        <v>258</v>
      </c>
      <c r="E87" s="2" t="s">
        <v>259</v>
      </c>
      <c r="F87" s="2" t="s">
        <v>260</v>
      </c>
      <c r="G87" s="2" t="s">
        <v>261</v>
      </c>
      <c r="H87" s="2">
        <v>2024</v>
      </c>
      <c r="I87" s="2">
        <v>2.7362075187331301</v>
      </c>
      <c r="J87" s="2"/>
      <c r="K87" s="2">
        <f>IFERROR(VALUE(Table145[[#This Row],[Inflation Annual Pct]])," ")</f>
        <v>2.7362075187331301</v>
      </c>
      <c r="L87" s="2">
        <f>IFERROR(VALUE(Table145[[#This Row],[Cost of Living ]])," ")</f>
        <v>0</v>
      </c>
      <c r="M87" s="2" t="b">
        <f>ISNUMBER(Table145[[#This Row],[Inflation Rate]])</f>
        <v>1</v>
      </c>
      <c r="N87" s="2" t="b">
        <f>ISNUMBER(Table145[[#This Row],[Cost of Living]])</f>
        <v>1</v>
      </c>
      <c r="O87" s="2"/>
      <c r="P87" s="2"/>
      <c r="Q87" s="2"/>
      <c r="R87" s="2"/>
      <c r="S87" s="2"/>
      <c r="T87" s="2"/>
      <c r="U87" s="2"/>
      <c r="V87" s="2"/>
      <c r="W87" s="2"/>
    </row>
    <row r="88" spans="1:23" x14ac:dyDescent="0.35">
      <c r="A88" s="2" t="s">
        <v>267</v>
      </c>
      <c r="B88" s="2" t="s">
        <v>2</v>
      </c>
      <c r="C88" s="2" t="s">
        <v>23</v>
      </c>
      <c r="D88" s="2" t="s">
        <v>268</v>
      </c>
      <c r="E88" s="2" t="s">
        <v>269</v>
      </c>
      <c r="F88" s="2" t="s">
        <v>270</v>
      </c>
      <c r="G88" s="2" t="s">
        <v>271</v>
      </c>
      <c r="H88" s="2">
        <v>2024</v>
      </c>
      <c r="I88" s="2">
        <v>3.3022333895122702</v>
      </c>
      <c r="J88" s="2"/>
      <c r="K88" s="2">
        <f>IFERROR(VALUE(Table145[[#This Row],[Inflation Annual Pct]])," ")</f>
        <v>3.3022333895122702</v>
      </c>
      <c r="L88" s="2">
        <f>IFERROR(VALUE(Table145[[#This Row],[Cost of Living ]])," ")</f>
        <v>0</v>
      </c>
      <c r="M88" s="2" t="b">
        <f>ISNUMBER(Table145[[#This Row],[Inflation Rate]])</f>
        <v>1</v>
      </c>
      <c r="N88" s="2" t="b">
        <f>ISNUMBER(Table145[[#This Row],[Cost of Living]])</f>
        <v>1</v>
      </c>
      <c r="O88" s="2"/>
      <c r="P88" s="2"/>
      <c r="Q88" s="2"/>
      <c r="R88" s="2"/>
      <c r="S88" s="2"/>
      <c r="T88" s="2"/>
      <c r="U88" s="2"/>
      <c r="V88" s="2"/>
      <c r="W88" s="2"/>
    </row>
    <row r="89" spans="1:23" x14ac:dyDescent="0.35">
      <c r="A89" s="2" t="s">
        <v>272</v>
      </c>
      <c r="B89" s="2" t="s">
        <v>8</v>
      </c>
      <c r="C89" s="2" t="s">
        <v>23</v>
      </c>
      <c r="D89" s="2" t="s">
        <v>273</v>
      </c>
      <c r="E89" s="2" t="s">
        <v>274</v>
      </c>
      <c r="F89" s="2" t="s">
        <v>275</v>
      </c>
      <c r="G89" s="2" t="s">
        <v>276</v>
      </c>
      <c r="H89" s="2">
        <v>2024</v>
      </c>
      <c r="I89" s="2">
        <v>4.0461145531343403</v>
      </c>
      <c r="J89" s="2"/>
      <c r="K89" s="2">
        <f>IFERROR(VALUE(Table145[[#This Row],[Inflation Annual Pct]])," ")</f>
        <v>4.0461145531343403</v>
      </c>
      <c r="L89" s="2">
        <f>IFERROR(VALUE(Table145[[#This Row],[Cost of Living ]])," ")</f>
        <v>0</v>
      </c>
      <c r="M89" s="2" t="b">
        <f>ISNUMBER(Table145[[#This Row],[Inflation Rate]])</f>
        <v>1</v>
      </c>
      <c r="N89" s="2" t="b">
        <f>ISNUMBER(Table145[[#This Row],[Cost of Living]])</f>
        <v>1</v>
      </c>
      <c r="O89" s="2"/>
      <c r="P89" s="2"/>
      <c r="Q89" s="2"/>
      <c r="R89" s="2"/>
      <c r="S89" s="2"/>
      <c r="T89" s="2"/>
      <c r="U89" s="2"/>
      <c r="V89" s="2"/>
      <c r="W89" s="2"/>
    </row>
    <row r="90" spans="1:23" x14ac:dyDescent="0.35">
      <c r="A90" s="2" t="s">
        <v>277</v>
      </c>
      <c r="B90" s="2" t="s">
        <v>2</v>
      </c>
      <c r="C90" s="2" t="s">
        <v>23</v>
      </c>
      <c r="D90" s="2" t="s">
        <v>278</v>
      </c>
      <c r="E90" s="2" t="s">
        <v>279</v>
      </c>
      <c r="F90" s="2" t="s">
        <v>280</v>
      </c>
      <c r="G90" s="2" t="s">
        <v>281</v>
      </c>
      <c r="H90" s="2">
        <v>2024</v>
      </c>
      <c r="I90" s="2">
        <v>1.54732515615369</v>
      </c>
      <c r="J90" s="2"/>
      <c r="K90" s="2">
        <f>IFERROR(VALUE(Table145[[#This Row],[Inflation Annual Pct]])," ")</f>
        <v>1.54732515615369</v>
      </c>
      <c r="L90" s="2">
        <f>IFERROR(VALUE(Table145[[#This Row],[Cost of Living ]])," ")</f>
        <v>0</v>
      </c>
      <c r="M90" s="2" t="b">
        <f>ISNUMBER(Table145[[#This Row],[Inflation Rate]])</f>
        <v>1</v>
      </c>
      <c r="N90" s="2" t="b">
        <f>ISNUMBER(Table145[[#This Row],[Cost of Living]])</f>
        <v>1</v>
      </c>
      <c r="O90" s="2"/>
      <c r="P90" s="2"/>
      <c r="Q90" s="2"/>
      <c r="R90" s="2"/>
      <c r="S90" s="2"/>
      <c r="T90" s="2"/>
      <c r="U90" s="2"/>
      <c r="V90" s="2"/>
      <c r="W90" s="2"/>
    </row>
    <row r="91" spans="1:23" x14ac:dyDescent="0.35">
      <c r="A91" s="2" t="s">
        <v>282</v>
      </c>
      <c r="B91" s="2" t="s">
        <v>8</v>
      </c>
      <c r="C91" s="2" t="s">
        <v>16</v>
      </c>
      <c r="D91" s="2" t="s">
        <v>283</v>
      </c>
      <c r="E91" s="2" t="s">
        <v>284</v>
      </c>
      <c r="F91" s="2" t="s">
        <v>285</v>
      </c>
      <c r="G91" s="2" t="s">
        <v>286</v>
      </c>
      <c r="H91" s="2">
        <v>2024</v>
      </c>
      <c r="I91" s="2">
        <v>28.270589932208299</v>
      </c>
      <c r="J91" s="2"/>
      <c r="K91" s="2">
        <f>IFERROR(VALUE(Table145[[#This Row],[Inflation Annual Pct]])," ")</f>
        <v>28.270589932208299</v>
      </c>
      <c r="L91" s="2">
        <f>IFERROR(VALUE(Table145[[#This Row],[Cost of Living ]])," ")</f>
        <v>0</v>
      </c>
      <c r="M91" s="2" t="b">
        <f>ISNUMBER(Table145[[#This Row],[Inflation Rate]])</f>
        <v>1</v>
      </c>
      <c r="N91" s="2" t="b">
        <f>ISNUMBER(Table145[[#This Row],[Cost of Living]])</f>
        <v>1</v>
      </c>
      <c r="O91" s="2"/>
      <c r="P91" s="2"/>
      <c r="Q91" s="2"/>
      <c r="R91" s="2"/>
      <c r="S91" s="2"/>
      <c r="T91" s="2"/>
      <c r="U91" s="2"/>
      <c r="V91" s="2"/>
      <c r="W91" s="2"/>
    </row>
    <row r="92" spans="1:23" x14ac:dyDescent="0.35">
      <c r="A92" s="2" t="s">
        <v>287</v>
      </c>
      <c r="B92" s="2" t="s">
        <v>15</v>
      </c>
      <c r="C92" s="2" t="s">
        <v>9</v>
      </c>
      <c r="D92" s="2" t="s">
        <v>288</v>
      </c>
      <c r="E92" s="2" t="s">
        <v>289</v>
      </c>
      <c r="F92" s="2" t="s">
        <v>290</v>
      </c>
      <c r="G92" s="2"/>
      <c r="H92" s="2"/>
      <c r="I92" s="2"/>
      <c r="J92" s="2"/>
      <c r="K92" s="2">
        <f>IFERROR(VALUE(Table145[[#This Row],[Inflation Annual Pct]])," ")</f>
        <v>0</v>
      </c>
      <c r="L92" s="2">
        <f>IFERROR(VALUE(Table145[[#This Row],[Cost of Living ]])," ")</f>
        <v>0</v>
      </c>
      <c r="M92" s="2" t="b">
        <f>ISNUMBER(Table145[[#This Row],[Inflation Rate]])</f>
        <v>1</v>
      </c>
      <c r="N92" s="2" t="b">
        <f>ISNUMBER(Table145[[#This Row],[Cost of Living]])</f>
        <v>1</v>
      </c>
      <c r="O92" s="2"/>
      <c r="P92" s="2"/>
      <c r="Q92" s="2"/>
      <c r="R92" s="2"/>
      <c r="S92" s="2"/>
      <c r="T92" s="2"/>
      <c r="U92" s="2"/>
      <c r="V92" s="2"/>
      <c r="W92" s="2"/>
    </row>
    <row r="93" spans="1:23" x14ac:dyDescent="0.35">
      <c r="A93" s="2" t="s">
        <v>296</v>
      </c>
      <c r="B93" s="2" t="s">
        <v>22</v>
      </c>
      <c r="C93" s="2" t="s">
        <v>3</v>
      </c>
      <c r="D93" s="2" t="s">
        <v>297</v>
      </c>
      <c r="E93" s="2" t="s">
        <v>298</v>
      </c>
      <c r="F93" s="2" t="s">
        <v>299</v>
      </c>
      <c r="G93" s="2" t="s">
        <v>300</v>
      </c>
      <c r="H93" s="2">
        <v>2024</v>
      </c>
      <c r="I93" s="2">
        <v>3.5194118998391999</v>
      </c>
      <c r="J93" s="2"/>
      <c r="K93" s="2">
        <f>IFERROR(VALUE(Table145[[#This Row],[Inflation Annual Pct]])," ")</f>
        <v>3.5194118998391999</v>
      </c>
      <c r="L93" s="2">
        <f>IFERROR(VALUE(Table145[[#This Row],[Cost of Living ]])," ")</f>
        <v>0</v>
      </c>
      <c r="M93" s="2" t="b">
        <f>ISNUMBER(Table145[[#This Row],[Inflation Rate]])</f>
        <v>1</v>
      </c>
      <c r="N93" s="2" t="b">
        <f>ISNUMBER(Table145[[#This Row],[Cost of Living]])</f>
        <v>1</v>
      </c>
      <c r="O93" s="2"/>
      <c r="P93" s="2"/>
      <c r="Q93" s="2"/>
      <c r="R93" s="2"/>
      <c r="S93" s="2"/>
      <c r="T93" s="2"/>
      <c r="U93" s="2"/>
      <c r="V93" s="2"/>
      <c r="W93" s="2"/>
    </row>
    <row r="94" spans="1:23" x14ac:dyDescent="0.35">
      <c r="A94" s="2" t="s">
        <v>301</v>
      </c>
      <c r="B94" s="2" t="s">
        <v>15</v>
      </c>
      <c r="C94" s="2" t="s">
        <v>9</v>
      </c>
      <c r="D94" s="2" t="s">
        <v>302</v>
      </c>
      <c r="E94" s="2" t="s">
        <v>303</v>
      </c>
      <c r="F94" s="2" t="s">
        <v>304</v>
      </c>
      <c r="G94" s="2" t="s">
        <v>305</v>
      </c>
      <c r="H94" s="2">
        <v>2024</v>
      </c>
      <c r="I94" s="2">
        <v>21.037746057771098</v>
      </c>
      <c r="J94" s="2"/>
      <c r="K94" s="2">
        <f>IFERROR(VALUE(Table145[[#This Row],[Inflation Annual Pct]])," ")</f>
        <v>21.037746057771098</v>
      </c>
      <c r="L94" s="2">
        <f>IFERROR(VALUE(Table145[[#This Row],[Cost of Living ]])," ")</f>
        <v>0</v>
      </c>
      <c r="M94" s="2" t="b">
        <f>ISNUMBER(Table145[[#This Row],[Inflation Rate]])</f>
        <v>1</v>
      </c>
      <c r="N94" s="2" t="b">
        <f>ISNUMBER(Table145[[#This Row],[Cost of Living]])</f>
        <v>1</v>
      </c>
      <c r="O94" s="2"/>
      <c r="P94" s="2"/>
      <c r="Q94" s="2"/>
      <c r="R94" s="2"/>
      <c r="S94" s="2"/>
      <c r="T94" s="2"/>
      <c r="U94" s="2"/>
      <c r="V94" s="2"/>
      <c r="W94" s="2"/>
    </row>
    <row r="95" spans="1:23" x14ac:dyDescent="0.35">
      <c r="A95" s="2" t="s">
        <v>306</v>
      </c>
      <c r="B95" s="2" t="s">
        <v>22</v>
      </c>
      <c r="C95" s="2" t="s">
        <v>3</v>
      </c>
      <c r="D95" s="2" t="s">
        <v>307</v>
      </c>
      <c r="E95" s="2" t="s">
        <v>308</v>
      </c>
      <c r="F95" s="2" t="s">
        <v>309</v>
      </c>
      <c r="G95" s="2" t="s">
        <v>310</v>
      </c>
      <c r="H95" s="2">
        <v>2024</v>
      </c>
      <c r="I95" s="2">
        <v>1.5656890623161599</v>
      </c>
      <c r="J95" s="2"/>
      <c r="K95" s="2">
        <f>IFERROR(VALUE(Table145[[#This Row],[Inflation Annual Pct]])," ")</f>
        <v>1.5656890623161599</v>
      </c>
      <c r="L95" s="2">
        <f>IFERROR(VALUE(Table145[[#This Row],[Cost of Living ]])," ")</f>
        <v>0</v>
      </c>
      <c r="M95" s="2" t="b">
        <f>ISNUMBER(Table145[[#This Row],[Inflation Rate]])</f>
        <v>1</v>
      </c>
      <c r="N95" s="2" t="b">
        <f>ISNUMBER(Table145[[#This Row],[Cost of Living]])</f>
        <v>1</v>
      </c>
      <c r="O95" s="2"/>
      <c r="P95" s="2"/>
      <c r="Q95" s="2"/>
      <c r="R95" s="2"/>
      <c r="S95" s="2"/>
      <c r="T95" s="2">
        <v>5.12</v>
      </c>
      <c r="U95" s="2">
        <v>118.6</v>
      </c>
      <c r="V95" s="2"/>
      <c r="W95" s="2"/>
    </row>
    <row r="96" spans="1:23" x14ac:dyDescent="0.35">
      <c r="A96" s="2" t="s">
        <v>311</v>
      </c>
      <c r="B96" s="2" t="s">
        <v>48</v>
      </c>
      <c r="C96" s="2" t="s">
        <v>23</v>
      </c>
      <c r="D96" s="2" t="s">
        <v>312</v>
      </c>
      <c r="E96" s="2" t="s">
        <v>313</v>
      </c>
      <c r="F96" s="2" t="s">
        <v>314</v>
      </c>
      <c r="G96" s="2" t="s">
        <v>315</v>
      </c>
      <c r="H96" s="2">
        <v>2024</v>
      </c>
      <c r="I96" s="2">
        <v>3.8908423788410502</v>
      </c>
      <c r="J96" s="2"/>
      <c r="K96" s="2">
        <f>IFERROR(VALUE(Table145[[#This Row],[Inflation Annual Pct]])," ")</f>
        <v>3.8908423788410502</v>
      </c>
      <c r="L96" s="2">
        <f>IFERROR(VALUE(Table145[[#This Row],[Cost of Living ]])," ")</f>
        <v>0</v>
      </c>
      <c r="M96" s="2" t="b">
        <f>ISNUMBER(Table145[[#This Row],[Inflation Rate]])</f>
        <v>1</v>
      </c>
      <c r="N96" s="2" t="b">
        <f>ISNUMBER(Table145[[#This Row],[Cost of Living]])</f>
        <v>1</v>
      </c>
      <c r="O96" s="2"/>
      <c r="P96" s="2"/>
      <c r="Q96" s="2"/>
      <c r="R96" s="2"/>
      <c r="S96" s="2"/>
      <c r="T96" s="2"/>
      <c r="U96" s="2"/>
      <c r="V96" s="2"/>
      <c r="W96" s="2"/>
    </row>
    <row r="97" spans="1:23" x14ac:dyDescent="0.35">
      <c r="A97" s="2" t="s">
        <v>321</v>
      </c>
      <c r="B97" s="2" t="s">
        <v>22</v>
      </c>
      <c r="C97" s="2" t="s">
        <v>3</v>
      </c>
      <c r="D97" s="2" t="s">
        <v>322</v>
      </c>
      <c r="E97" s="2" t="s">
        <v>323</v>
      </c>
      <c r="F97" s="2" t="s">
        <v>324</v>
      </c>
      <c r="G97" s="2"/>
      <c r="H97" s="2"/>
      <c r="I97" s="2"/>
      <c r="J97" s="2"/>
      <c r="K97" s="2">
        <f>IFERROR(VALUE(Table145[[#This Row],[Inflation Annual Pct]])," ")</f>
        <v>0</v>
      </c>
      <c r="L97" s="2">
        <f>IFERROR(VALUE(Table145[[#This Row],[Cost of Living ]])," ")</f>
        <v>0</v>
      </c>
      <c r="M97" s="2" t="b">
        <f>ISNUMBER(Table145[[#This Row],[Inflation Rate]])</f>
        <v>1</v>
      </c>
      <c r="N97" s="2" t="b">
        <f>ISNUMBER(Table145[[#This Row],[Cost of Living]])</f>
        <v>1</v>
      </c>
      <c r="O97" s="2"/>
      <c r="P97" s="2"/>
      <c r="Q97" s="2"/>
      <c r="R97" s="2"/>
      <c r="S97" s="2"/>
      <c r="T97" s="2"/>
      <c r="U97" s="2"/>
      <c r="V97" s="2"/>
      <c r="W97" s="2"/>
    </row>
    <row r="98" spans="1:23" x14ac:dyDescent="0.35">
      <c r="A98" s="2" t="s">
        <v>325</v>
      </c>
      <c r="B98" s="2" t="s">
        <v>48</v>
      </c>
      <c r="C98" s="2" t="s">
        <v>23</v>
      </c>
      <c r="D98" s="2" t="s">
        <v>326</v>
      </c>
      <c r="E98" s="2" t="s">
        <v>327</v>
      </c>
      <c r="F98" s="2" t="s">
        <v>328</v>
      </c>
      <c r="G98" s="2" t="s">
        <v>329</v>
      </c>
      <c r="H98" s="2">
        <v>2022</v>
      </c>
      <c r="I98" s="2">
        <v>5.4087437547906703</v>
      </c>
      <c r="J98" s="2"/>
      <c r="K98" s="2">
        <f>IFERROR(VALUE(Table145[[#This Row],[Inflation Annual Pct]])," ")</f>
        <v>5.4087437547906703</v>
      </c>
      <c r="L98" s="2">
        <f>IFERROR(VALUE(Table145[[#This Row],[Cost of Living ]])," ")</f>
        <v>0</v>
      </c>
      <c r="M98" s="2" t="b">
        <f>ISNUMBER(Table145[[#This Row],[Inflation Rate]])</f>
        <v>1</v>
      </c>
      <c r="N98" s="2" t="b">
        <f>ISNUMBER(Table145[[#This Row],[Cost of Living]])</f>
        <v>1</v>
      </c>
      <c r="O98" s="2"/>
      <c r="P98" s="2"/>
      <c r="Q98" s="2"/>
      <c r="R98" s="2"/>
      <c r="S98" s="2"/>
      <c r="T98" s="2"/>
      <c r="U98" s="2"/>
      <c r="V98" s="2"/>
      <c r="W98" s="2"/>
    </row>
    <row r="99" spans="1:23" x14ac:dyDescent="0.35">
      <c r="A99" s="2" t="s">
        <v>330</v>
      </c>
      <c r="B99" s="2" t="s">
        <v>15</v>
      </c>
      <c r="C99" s="2" t="s">
        <v>23</v>
      </c>
      <c r="D99" s="2" t="s">
        <v>331</v>
      </c>
      <c r="E99" s="2" t="s">
        <v>332</v>
      </c>
      <c r="F99" s="2" t="s">
        <v>333</v>
      </c>
      <c r="G99" s="2" t="s">
        <v>334</v>
      </c>
      <c r="H99" s="2">
        <v>2024</v>
      </c>
      <c r="I99" s="2">
        <v>1.17311998381218</v>
      </c>
      <c r="J99" s="2"/>
      <c r="K99" s="2">
        <f>IFERROR(VALUE(Table145[[#This Row],[Inflation Annual Pct]])," ")</f>
        <v>1.17311998381218</v>
      </c>
      <c r="L99" s="2">
        <f>IFERROR(VALUE(Table145[[#This Row],[Cost of Living ]])," ")</f>
        <v>0</v>
      </c>
      <c r="M99" s="2" t="b">
        <f>ISNUMBER(Table145[[#This Row],[Inflation Rate]])</f>
        <v>1</v>
      </c>
      <c r="N99" s="2" t="b">
        <f>ISNUMBER(Table145[[#This Row],[Cost of Living]])</f>
        <v>1</v>
      </c>
      <c r="O99" s="2"/>
      <c r="P99" s="2"/>
      <c r="Q99" s="2"/>
      <c r="R99" s="2"/>
      <c r="S99" s="2"/>
      <c r="T99" s="2"/>
      <c r="U99" s="2"/>
      <c r="V99" s="2"/>
      <c r="W99" s="2"/>
    </row>
    <row r="100" spans="1:23" x14ac:dyDescent="0.35">
      <c r="A100" s="2" t="s">
        <v>340</v>
      </c>
      <c r="B100" s="2" t="s">
        <v>22</v>
      </c>
      <c r="C100" s="2" t="s">
        <v>23</v>
      </c>
      <c r="D100" s="2" t="s">
        <v>341</v>
      </c>
      <c r="E100" s="2" t="s">
        <v>342</v>
      </c>
      <c r="F100" s="2" t="s">
        <v>343</v>
      </c>
      <c r="G100" s="2" t="s">
        <v>344</v>
      </c>
      <c r="H100" s="2">
        <v>2024</v>
      </c>
      <c r="I100" s="2">
        <v>1.10971758022096</v>
      </c>
      <c r="J100" s="2"/>
      <c r="K100" s="2">
        <f>IFERROR(VALUE(Table145[[#This Row],[Inflation Annual Pct]])," ")</f>
        <v>1.10971758022096</v>
      </c>
      <c r="L100" s="2">
        <f>IFERROR(VALUE(Table145[[#This Row],[Cost of Living ]])," ")</f>
        <v>0</v>
      </c>
      <c r="M100" s="2" t="b">
        <f>ISNUMBER(Table145[[#This Row],[Inflation Rate]])</f>
        <v>1</v>
      </c>
      <c r="N100" s="2" t="b">
        <f>ISNUMBER(Table145[[#This Row],[Cost of Living]])</f>
        <v>1</v>
      </c>
      <c r="O100" s="2"/>
      <c r="P100" s="2"/>
      <c r="Q100" s="2"/>
      <c r="R100" s="2"/>
      <c r="S100" s="2"/>
      <c r="T100" s="2"/>
      <c r="U100" s="2"/>
      <c r="V100" s="2"/>
      <c r="W100" s="2"/>
    </row>
    <row r="101" spans="1:23" x14ac:dyDescent="0.35">
      <c r="A101" s="2" t="s">
        <v>345</v>
      </c>
      <c r="B101" s="2" t="s">
        <v>15</v>
      </c>
      <c r="C101" s="2" t="s">
        <v>16</v>
      </c>
      <c r="D101" s="2" t="s">
        <v>346</v>
      </c>
      <c r="E101" s="2" t="s">
        <v>347</v>
      </c>
      <c r="F101" s="2" t="s">
        <v>348</v>
      </c>
      <c r="G101" s="2" t="s">
        <v>349</v>
      </c>
      <c r="H101" s="2">
        <v>2024</v>
      </c>
      <c r="I101" s="2">
        <v>22.848328115784199</v>
      </c>
      <c r="J101" s="2"/>
      <c r="K101" s="2">
        <f>IFERROR(VALUE(Table145[[#This Row],[Inflation Annual Pct]])," ")</f>
        <v>22.848328115784199</v>
      </c>
      <c r="L101" s="2">
        <f>IFERROR(VALUE(Table145[[#This Row],[Cost of Living ]])," ")</f>
        <v>0</v>
      </c>
      <c r="M101" s="2" t="b">
        <f>ISNUMBER(Table145[[#This Row],[Inflation Rate]])</f>
        <v>1</v>
      </c>
      <c r="N101" s="2" t="b">
        <f>ISNUMBER(Table145[[#This Row],[Cost of Living]])</f>
        <v>1</v>
      </c>
      <c r="O101" s="2"/>
      <c r="P101" s="2"/>
      <c r="Q101" s="2"/>
      <c r="R101" s="2"/>
      <c r="S101" s="2"/>
      <c r="T101" s="2"/>
      <c r="U101" s="2"/>
      <c r="V101" s="2"/>
      <c r="W101" s="2"/>
    </row>
    <row r="102" spans="1:23" x14ac:dyDescent="0.35">
      <c r="A102" s="2" t="s">
        <v>350</v>
      </c>
      <c r="B102" s="2" t="s">
        <v>22</v>
      </c>
      <c r="C102" s="2" t="s">
        <v>3</v>
      </c>
      <c r="D102" s="2"/>
      <c r="E102" s="2"/>
      <c r="F102" s="2"/>
      <c r="G102" s="2"/>
      <c r="H102" s="2"/>
      <c r="I102" s="2"/>
      <c r="J102" s="2"/>
      <c r="K102" s="2">
        <f>IFERROR(VALUE(Table145[[#This Row],[Inflation Annual Pct]])," ")</f>
        <v>0</v>
      </c>
      <c r="L102" s="2">
        <f>IFERROR(VALUE(Table145[[#This Row],[Cost of Living ]])," ")</f>
        <v>0</v>
      </c>
      <c r="M102" s="2" t="b">
        <f>ISNUMBER(Table145[[#This Row],[Inflation Rate]])</f>
        <v>1</v>
      </c>
      <c r="N102" s="2" t="b">
        <f>ISNUMBER(Table145[[#This Row],[Cost of Living]])</f>
        <v>1</v>
      </c>
      <c r="O102" s="2"/>
      <c r="P102" s="2"/>
      <c r="Q102" s="2"/>
      <c r="R102" s="2"/>
      <c r="S102" s="2"/>
      <c r="T102" s="2"/>
      <c r="U102" s="2"/>
      <c r="V102" s="2"/>
      <c r="W102" s="2"/>
    </row>
    <row r="103" spans="1:23" x14ac:dyDescent="0.35">
      <c r="A103" s="2" t="s">
        <v>351</v>
      </c>
      <c r="B103" s="2" t="s">
        <v>15</v>
      </c>
      <c r="C103" s="2" t="s">
        <v>16</v>
      </c>
      <c r="D103" s="2" t="s">
        <v>352</v>
      </c>
      <c r="E103" s="2" t="s">
        <v>353</v>
      </c>
      <c r="F103" s="2" t="s">
        <v>354</v>
      </c>
      <c r="G103" s="2" t="s">
        <v>355</v>
      </c>
      <c r="H103" s="2">
        <v>2024</v>
      </c>
      <c r="I103" s="2">
        <v>8.1231391494859597</v>
      </c>
      <c r="J103" s="2"/>
      <c r="K103" s="2">
        <f>IFERROR(VALUE(Table145[[#This Row],[Inflation Annual Pct]])," ")</f>
        <v>8.1231391494859597</v>
      </c>
      <c r="L103" s="2">
        <f>IFERROR(VALUE(Table145[[#This Row],[Cost of Living ]])," ")</f>
        <v>0</v>
      </c>
      <c r="M103" s="2" t="b">
        <f>ISNUMBER(Table145[[#This Row],[Inflation Rate]])</f>
        <v>1</v>
      </c>
      <c r="N103" s="2" t="b">
        <f>ISNUMBER(Table145[[#This Row],[Cost of Living]])</f>
        <v>1</v>
      </c>
      <c r="O103" s="2"/>
      <c r="P103" s="2"/>
      <c r="Q103" s="2"/>
      <c r="R103" s="2"/>
      <c r="S103" s="2"/>
      <c r="T103" s="2"/>
      <c r="U103" s="2"/>
      <c r="V103" s="2"/>
      <c r="W103" s="2"/>
    </row>
    <row r="104" spans="1:23" x14ac:dyDescent="0.35">
      <c r="A104" s="2" t="s">
        <v>356</v>
      </c>
      <c r="B104" s="2" t="s">
        <v>15</v>
      </c>
      <c r="C104" s="2" t="s">
        <v>9</v>
      </c>
      <c r="D104" s="2" t="s">
        <v>357</v>
      </c>
      <c r="E104" s="2" t="s">
        <v>358</v>
      </c>
      <c r="F104" s="2" t="s">
        <v>359</v>
      </c>
      <c r="G104" s="2" t="s">
        <v>360</v>
      </c>
      <c r="H104" s="2">
        <v>2024</v>
      </c>
      <c r="I104" s="2">
        <v>11.561053289751101</v>
      </c>
      <c r="J104" s="2"/>
      <c r="K104" s="2">
        <f>IFERROR(VALUE(Table145[[#This Row],[Inflation Annual Pct]])," ")</f>
        <v>11.561053289751101</v>
      </c>
      <c r="L104" s="2">
        <f>IFERROR(VALUE(Table145[[#This Row],[Cost of Living ]])," ")</f>
        <v>0</v>
      </c>
      <c r="M104" s="2" t="b">
        <f>ISNUMBER(Table145[[#This Row],[Inflation Rate]])</f>
        <v>1</v>
      </c>
      <c r="N104" s="2" t="b">
        <f>ISNUMBER(Table145[[#This Row],[Cost of Living]])</f>
        <v>1</v>
      </c>
      <c r="O104" s="2"/>
      <c r="P104" s="2"/>
      <c r="Q104" s="2"/>
      <c r="R104" s="2"/>
      <c r="S104" s="2"/>
      <c r="T104" s="2"/>
      <c r="U104" s="2"/>
      <c r="V104" s="2"/>
      <c r="W104" s="2"/>
    </row>
    <row r="105" spans="1:23" x14ac:dyDescent="0.35">
      <c r="A105" s="2" t="s">
        <v>361</v>
      </c>
      <c r="B105" s="2" t="s">
        <v>15</v>
      </c>
      <c r="C105" s="2" t="s">
        <v>9</v>
      </c>
      <c r="D105" s="2" t="s">
        <v>362</v>
      </c>
      <c r="E105" s="2" t="s">
        <v>363</v>
      </c>
      <c r="F105" s="2" t="s">
        <v>364</v>
      </c>
      <c r="G105" s="2" t="s">
        <v>365</v>
      </c>
      <c r="H105" s="2">
        <v>2024</v>
      </c>
      <c r="I105" s="2">
        <v>3.7655582577011399</v>
      </c>
      <c r="J105" s="2"/>
      <c r="K105" s="2">
        <f>IFERROR(VALUE(Table145[[#This Row],[Inflation Annual Pct]])," ")</f>
        <v>3.7655582577011399</v>
      </c>
      <c r="L105" s="2">
        <f>IFERROR(VALUE(Table145[[#This Row],[Cost of Living ]])," ")</f>
        <v>0</v>
      </c>
      <c r="M105" s="2" t="b">
        <f>ISNUMBER(Table145[[#This Row],[Inflation Rate]])</f>
        <v>1</v>
      </c>
      <c r="N105" s="2" t="b">
        <f>ISNUMBER(Table145[[#This Row],[Cost of Living]])</f>
        <v>1</v>
      </c>
      <c r="O105" s="2"/>
      <c r="P105" s="2"/>
      <c r="Q105" s="2"/>
      <c r="R105" s="2"/>
      <c r="S105" s="2"/>
      <c r="T105" s="2"/>
      <c r="U105" s="2"/>
      <c r="V105" s="2"/>
      <c r="W105" s="2"/>
    </row>
    <row r="106" spans="1:23" x14ac:dyDescent="0.35">
      <c r="A106" s="2" t="s">
        <v>366</v>
      </c>
      <c r="B106" s="2" t="s">
        <v>15</v>
      </c>
      <c r="C106" s="2" t="s">
        <v>23</v>
      </c>
      <c r="D106" s="2" t="s">
        <v>367</v>
      </c>
      <c r="E106" s="2" t="s">
        <v>368</v>
      </c>
      <c r="F106" s="2" t="s">
        <v>369</v>
      </c>
      <c r="G106" s="2" t="s">
        <v>370</v>
      </c>
      <c r="H106" s="2">
        <v>2024</v>
      </c>
      <c r="I106" s="2">
        <v>2.9214022730910298</v>
      </c>
      <c r="J106" s="2"/>
      <c r="K106" s="2">
        <f>IFERROR(VALUE(Table145[[#This Row],[Inflation Annual Pct]])," ")</f>
        <v>2.9214022730910298</v>
      </c>
      <c r="L106" s="2">
        <f>IFERROR(VALUE(Table145[[#This Row],[Cost of Living ]])," ")</f>
        <v>0</v>
      </c>
      <c r="M106" s="2" t="b">
        <f>ISNUMBER(Table145[[#This Row],[Inflation Rate]])</f>
        <v>1</v>
      </c>
      <c r="N106" s="2" t="b">
        <f>ISNUMBER(Table145[[#This Row],[Cost of Living]])</f>
        <v>1</v>
      </c>
      <c r="O106" s="2"/>
      <c r="P106" s="2"/>
      <c r="Q106" s="2"/>
      <c r="R106" s="2"/>
      <c r="S106" s="2"/>
      <c r="T106" s="2"/>
      <c r="U106" s="2"/>
      <c r="V106" s="2"/>
      <c r="W106" s="2"/>
    </row>
    <row r="107" spans="1:23" x14ac:dyDescent="0.35">
      <c r="A107" s="2" t="s">
        <v>376</v>
      </c>
      <c r="B107" s="2" t="s">
        <v>2</v>
      </c>
      <c r="C107" s="2" t="s">
        <v>23</v>
      </c>
      <c r="D107" s="2" t="s">
        <v>377</v>
      </c>
      <c r="E107" s="2" t="s">
        <v>378</v>
      </c>
      <c r="F107" s="2" t="s">
        <v>379</v>
      </c>
      <c r="G107" s="2" t="s">
        <v>380</v>
      </c>
      <c r="H107" s="2">
        <v>2024</v>
      </c>
      <c r="I107" s="2">
        <v>1.08615365134737</v>
      </c>
      <c r="J107" s="2"/>
      <c r="K107" s="2">
        <f>IFERROR(VALUE(Table145[[#This Row],[Inflation Annual Pct]])," ")</f>
        <v>1.08615365134737</v>
      </c>
      <c r="L107" s="2">
        <f>IFERROR(VALUE(Table145[[#This Row],[Cost of Living ]])," ")</f>
        <v>0</v>
      </c>
      <c r="M107" s="2" t="b">
        <f>ISNUMBER(Table145[[#This Row],[Inflation Rate]])</f>
        <v>1</v>
      </c>
      <c r="N107" s="2" t="b">
        <f>ISNUMBER(Table145[[#This Row],[Cost of Living]])</f>
        <v>1</v>
      </c>
      <c r="O107" s="2"/>
      <c r="P107" s="2"/>
      <c r="Q107" s="2"/>
      <c r="R107" s="2"/>
      <c r="S107" s="2"/>
      <c r="T107" s="2"/>
      <c r="U107" s="2"/>
      <c r="V107" s="2"/>
      <c r="W107" s="2"/>
    </row>
    <row r="108" spans="1:23" x14ac:dyDescent="0.35">
      <c r="A108" s="2" t="s">
        <v>381</v>
      </c>
      <c r="B108" s="2" t="s">
        <v>22</v>
      </c>
      <c r="C108" s="2" t="s">
        <v>3</v>
      </c>
      <c r="D108" s="2" t="s">
        <v>382</v>
      </c>
      <c r="E108" s="2" t="s">
        <v>383</v>
      </c>
      <c r="F108" s="2" t="s">
        <v>384</v>
      </c>
      <c r="G108" s="2"/>
      <c r="H108" s="2"/>
      <c r="I108" s="2"/>
      <c r="J108" s="2"/>
      <c r="K108" s="2">
        <f>IFERROR(VALUE(Table145[[#This Row],[Inflation Annual Pct]])," ")</f>
        <v>0</v>
      </c>
      <c r="L108" s="2">
        <f>IFERROR(VALUE(Table145[[#This Row],[Cost of Living ]])," ")</f>
        <v>0</v>
      </c>
      <c r="M108" s="2" t="b">
        <f>ISNUMBER(Table145[[#This Row],[Inflation Rate]])</f>
        <v>1</v>
      </c>
      <c r="N108" s="2" t="b">
        <f>ISNUMBER(Table145[[#This Row],[Cost of Living]])</f>
        <v>1</v>
      </c>
      <c r="O108" s="2"/>
      <c r="P108" s="2"/>
      <c r="Q108" s="2"/>
      <c r="R108" s="2"/>
      <c r="S108" s="2"/>
      <c r="T108" s="2"/>
      <c r="U108" s="2"/>
      <c r="V108" s="2"/>
      <c r="W108" s="2"/>
    </row>
    <row r="109" spans="1:23" x14ac:dyDescent="0.35">
      <c r="A109" s="2" t="s">
        <v>385</v>
      </c>
      <c r="B109" s="2" t="s">
        <v>2</v>
      </c>
      <c r="C109" s="2" t="s">
        <v>23</v>
      </c>
      <c r="D109" s="2" t="s">
        <v>386</v>
      </c>
      <c r="E109" s="2" t="s">
        <v>387</v>
      </c>
      <c r="F109" s="2" t="s">
        <v>388</v>
      </c>
      <c r="G109" s="2" t="s">
        <v>389</v>
      </c>
      <c r="H109" s="2">
        <v>2024</v>
      </c>
      <c r="I109" s="2">
        <v>2.8699275291829398</v>
      </c>
      <c r="J109" s="2"/>
      <c r="K109" s="2">
        <f>IFERROR(VALUE(Table145[[#This Row],[Inflation Annual Pct]])," ")</f>
        <v>2.8699275291829398</v>
      </c>
      <c r="L109" s="2">
        <f>IFERROR(VALUE(Table145[[#This Row],[Cost of Living ]])," ")</f>
        <v>0</v>
      </c>
      <c r="M109" s="2" t="b">
        <f>ISNUMBER(Table145[[#This Row],[Inflation Rate]])</f>
        <v>1</v>
      </c>
      <c r="N109" s="2" t="b">
        <f>ISNUMBER(Table145[[#This Row],[Cost of Living]])</f>
        <v>1</v>
      </c>
      <c r="O109" s="2"/>
      <c r="P109" s="2"/>
      <c r="Q109" s="2"/>
      <c r="R109" s="2"/>
      <c r="S109" s="2"/>
      <c r="T109" s="2"/>
      <c r="U109" s="2"/>
      <c r="V109" s="2"/>
      <c r="W109" s="2"/>
    </row>
    <row r="110" spans="1:23" x14ac:dyDescent="0.35">
      <c r="A110" s="2" t="s">
        <v>390</v>
      </c>
      <c r="B110" s="2" t="s">
        <v>48</v>
      </c>
      <c r="C110" s="2" t="s">
        <v>3</v>
      </c>
      <c r="D110" s="2" t="s">
        <v>391</v>
      </c>
      <c r="E110" s="2" t="s">
        <v>392</v>
      </c>
      <c r="F110" s="2" t="s">
        <v>393</v>
      </c>
      <c r="G110" s="2"/>
      <c r="H110" s="2"/>
      <c r="I110" s="2"/>
      <c r="J110" s="2"/>
      <c r="K110" s="2">
        <f>IFERROR(VALUE(Table145[[#This Row],[Inflation Annual Pct]])," ")</f>
        <v>0</v>
      </c>
      <c r="L110" s="2">
        <f>IFERROR(VALUE(Table145[[#This Row],[Cost of Living ]])," ")</f>
        <v>0</v>
      </c>
      <c r="M110" s="2" t="b">
        <f>ISNUMBER(Table145[[#This Row],[Inflation Rate]])</f>
        <v>1</v>
      </c>
      <c r="N110" s="2" t="b">
        <f>ISNUMBER(Table145[[#This Row],[Cost of Living]])</f>
        <v>1</v>
      </c>
      <c r="O110" s="2"/>
      <c r="P110" s="2"/>
      <c r="Q110" s="2"/>
      <c r="R110" s="2"/>
      <c r="S110" s="2"/>
      <c r="T110" s="2"/>
      <c r="U110" s="2"/>
      <c r="V110" s="2"/>
      <c r="W110" s="2"/>
    </row>
    <row r="111" spans="1:23" x14ac:dyDescent="0.35">
      <c r="A111" s="2" t="s">
        <v>394</v>
      </c>
      <c r="B111" s="2" t="s">
        <v>2</v>
      </c>
      <c r="C111" s="2" t="s">
        <v>3</v>
      </c>
      <c r="D111" s="2" t="s">
        <v>395</v>
      </c>
      <c r="E111" s="2" t="s">
        <v>396</v>
      </c>
      <c r="F111" s="2" t="s">
        <v>397</v>
      </c>
      <c r="G111" s="2" t="s">
        <v>398</v>
      </c>
      <c r="H111" s="2">
        <v>2024</v>
      </c>
      <c r="I111" s="2">
        <v>2.90379501424778</v>
      </c>
      <c r="J111" s="2"/>
      <c r="K111" s="2">
        <f>IFERROR(VALUE(Table145[[#This Row],[Inflation Annual Pct]])," ")</f>
        <v>2.90379501424778</v>
      </c>
      <c r="L111" s="2">
        <f>IFERROR(VALUE(Table145[[#This Row],[Cost of Living ]])," ")</f>
        <v>0</v>
      </c>
      <c r="M111" s="2" t="b">
        <f>ISNUMBER(Table145[[#This Row],[Inflation Rate]])</f>
        <v>1</v>
      </c>
      <c r="N111" s="2" t="b">
        <f>ISNUMBER(Table145[[#This Row],[Cost of Living]])</f>
        <v>1</v>
      </c>
      <c r="O111" s="2"/>
      <c r="P111" s="2"/>
      <c r="Q111" s="2"/>
      <c r="R111" s="2"/>
      <c r="S111" s="2"/>
      <c r="T111" s="2"/>
      <c r="U111" s="2"/>
      <c r="V111" s="2"/>
      <c r="W111" s="2"/>
    </row>
    <row r="112" spans="1:23" x14ac:dyDescent="0.35">
      <c r="A112" s="2" t="s">
        <v>399</v>
      </c>
      <c r="B112" s="2" t="s">
        <v>48</v>
      </c>
      <c r="C112" s="2" t="s">
        <v>3</v>
      </c>
      <c r="D112" s="2"/>
      <c r="E112" s="2" t="s">
        <v>400</v>
      </c>
      <c r="F112" s="2" t="s">
        <v>401</v>
      </c>
      <c r="G112" s="2" t="s">
        <v>402</v>
      </c>
      <c r="H112" s="2">
        <v>2024</v>
      </c>
      <c r="I112" s="2">
        <v>1.7297211910591399</v>
      </c>
      <c r="J112" s="2"/>
      <c r="K112" s="2">
        <f>IFERROR(VALUE(Table145[[#This Row],[Inflation Annual Pct]])," ")</f>
        <v>1.7297211910591399</v>
      </c>
      <c r="L112" s="2">
        <f>IFERROR(VALUE(Table145[[#This Row],[Cost of Living ]])," ")</f>
        <v>0</v>
      </c>
      <c r="M112" s="2" t="b">
        <f>ISNUMBER(Table145[[#This Row],[Inflation Rate]])</f>
        <v>1</v>
      </c>
      <c r="N112" s="2" t="b">
        <f>ISNUMBER(Table145[[#This Row],[Cost of Living]])</f>
        <v>1</v>
      </c>
      <c r="O112" s="2"/>
      <c r="P112" s="2"/>
      <c r="Q112" s="2"/>
      <c r="R112" s="2"/>
      <c r="S112" s="2"/>
      <c r="T112" s="2"/>
      <c r="U112" s="2"/>
      <c r="V112" s="2"/>
      <c r="W112" s="2"/>
    </row>
    <row r="113" spans="1:23" x14ac:dyDescent="0.35">
      <c r="A113" s="2" t="s">
        <v>403</v>
      </c>
      <c r="B113" s="2" t="s">
        <v>2</v>
      </c>
      <c r="C113" s="2" t="s">
        <v>16</v>
      </c>
      <c r="D113" s="2" t="s">
        <v>404</v>
      </c>
      <c r="E113" s="2" t="s">
        <v>405</v>
      </c>
      <c r="F113" s="2" t="s">
        <v>406</v>
      </c>
      <c r="G113" s="2" t="s">
        <v>407</v>
      </c>
      <c r="H113" s="2">
        <v>2024</v>
      </c>
      <c r="I113" s="2">
        <v>4.6062109812710101</v>
      </c>
      <c r="J113" s="2"/>
      <c r="K113" s="2">
        <f>IFERROR(VALUE(Table145[[#This Row],[Inflation Annual Pct]])," ")</f>
        <v>4.6062109812710101</v>
      </c>
      <c r="L113" s="2">
        <f>IFERROR(VALUE(Table145[[#This Row],[Cost of Living ]])," ")</f>
        <v>0</v>
      </c>
      <c r="M113" s="2" t="b">
        <f>ISNUMBER(Table145[[#This Row],[Inflation Rate]])</f>
        <v>1</v>
      </c>
      <c r="N113" s="2" t="b">
        <f>ISNUMBER(Table145[[#This Row],[Cost of Living]])</f>
        <v>1</v>
      </c>
      <c r="O113" s="2"/>
      <c r="P113" s="2"/>
      <c r="Q113" s="2"/>
      <c r="R113" s="2"/>
      <c r="S113" s="2"/>
      <c r="T113" s="2"/>
      <c r="U113" s="2"/>
      <c r="V113" s="2"/>
      <c r="W113" s="2"/>
    </row>
    <row r="114" spans="1:23" x14ac:dyDescent="0.35">
      <c r="A114" s="2" t="s">
        <v>408</v>
      </c>
      <c r="B114" s="2" t="s">
        <v>22</v>
      </c>
      <c r="C114" s="2" t="s">
        <v>3</v>
      </c>
      <c r="D114" s="2" t="s">
        <v>409</v>
      </c>
      <c r="E114" s="2" t="s">
        <v>410</v>
      </c>
      <c r="F114" s="2" t="s">
        <v>411</v>
      </c>
      <c r="G114" s="2" t="s">
        <v>412</v>
      </c>
      <c r="H114" s="2">
        <v>2024</v>
      </c>
      <c r="I114" s="2">
        <v>2.9720047764362598</v>
      </c>
      <c r="J114" s="2"/>
      <c r="K114" s="2">
        <f>IFERROR(VALUE(Table145[[#This Row],[Inflation Annual Pct]])," ")</f>
        <v>2.9720047764362598</v>
      </c>
      <c r="L114" s="2">
        <f>IFERROR(VALUE(Table145[[#This Row],[Cost of Living ]])," ")</f>
        <v>0</v>
      </c>
      <c r="M114" s="2" t="b">
        <f>ISNUMBER(Table145[[#This Row],[Inflation Rate]])</f>
        <v>1</v>
      </c>
      <c r="N114" s="2" t="b">
        <f>ISNUMBER(Table145[[#This Row],[Cost of Living]])</f>
        <v>1</v>
      </c>
      <c r="O114" s="2"/>
      <c r="P114" s="2"/>
      <c r="Q114" s="2"/>
      <c r="R114" s="2"/>
      <c r="S114" s="2"/>
      <c r="T114" s="2"/>
      <c r="U114" s="2"/>
      <c r="V114" s="2"/>
      <c r="W114" s="2"/>
    </row>
    <row r="115" spans="1:23" x14ac:dyDescent="0.35">
      <c r="A115" s="2" t="s">
        <v>413</v>
      </c>
      <c r="B115" s="2" t="s">
        <v>2</v>
      </c>
      <c r="C115" s="2" t="s">
        <v>16</v>
      </c>
      <c r="D115" s="2" t="s">
        <v>414</v>
      </c>
      <c r="E115" s="2" t="s">
        <v>415</v>
      </c>
      <c r="F115" s="2" t="s">
        <v>416</v>
      </c>
      <c r="G115" s="2" t="s">
        <v>417</v>
      </c>
      <c r="H115" s="2">
        <v>2024</v>
      </c>
      <c r="I115" s="2">
        <v>26.9490564091987</v>
      </c>
      <c r="J115" s="2"/>
      <c r="K115" s="2">
        <f>IFERROR(VALUE(Table145[[#This Row],[Inflation Annual Pct]])," ")</f>
        <v>26.9490564091987</v>
      </c>
      <c r="L115" s="2">
        <f>IFERROR(VALUE(Table145[[#This Row],[Cost of Living ]])," ")</f>
        <v>0</v>
      </c>
      <c r="M115" s="2" t="b">
        <f>ISNUMBER(Table145[[#This Row],[Inflation Rate]])</f>
        <v>1</v>
      </c>
      <c r="N115" s="2" t="b">
        <f>ISNUMBER(Table145[[#This Row],[Cost of Living]])</f>
        <v>1</v>
      </c>
      <c r="O115" s="2"/>
      <c r="P115" s="2"/>
      <c r="Q115" s="2"/>
      <c r="R115" s="2"/>
      <c r="S115" s="2"/>
      <c r="T115" s="2"/>
      <c r="U115" s="2"/>
      <c r="V115" s="2"/>
      <c r="W115" s="2"/>
    </row>
    <row r="116" spans="1:23" x14ac:dyDescent="0.35">
      <c r="A116" s="2" t="s">
        <v>418</v>
      </c>
      <c r="B116" s="2" t="s">
        <v>22</v>
      </c>
      <c r="C116" s="2" t="s">
        <v>3</v>
      </c>
      <c r="D116" s="2" t="s">
        <v>419</v>
      </c>
      <c r="E116" s="2" t="s">
        <v>420</v>
      </c>
      <c r="F116" s="2" t="s">
        <v>421</v>
      </c>
      <c r="G116" s="2" t="s">
        <v>422</v>
      </c>
      <c r="H116" s="2">
        <v>2024</v>
      </c>
      <c r="I116" s="2">
        <v>3.70370370370369</v>
      </c>
      <c r="J116" s="2"/>
      <c r="K116" s="2">
        <f>IFERROR(VALUE(Table145[[#This Row],[Inflation Annual Pct]])," ")</f>
        <v>3.70370370370369</v>
      </c>
      <c r="L116" s="2">
        <f>IFERROR(VALUE(Table145[[#This Row],[Cost of Living ]])," ")</f>
        <v>0</v>
      </c>
      <c r="M116" s="2" t="b">
        <f>ISNUMBER(Table145[[#This Row],[Inflation Rate]])</f>
        <v>1</v>
      </c>
      <c r="N116" s="2" t="b">
        <f>ISNUMBER(Table145[[#This Row],[Cost of Living]])</f>
        <v>1</v>
      </c>
      <c r="O116" s="2"/>
      <c r="P116" s="2"/>
      <c r="Q116" s="2"/>
      <c r="R116" s="2"/>
      <c r="S116" s="2"/>
      <c r="T116" s="2"/>
      <c r="U116" s="2"/>
      <c r="V116" s="2"/>
      <c r="W116" s="2"/>
    </row>
    <row r="117" spans="1:23" x14ac:dyDescent="0.35">
      <c r="A117" s="2" t="s">
        <v>428</v>
      </c>
      <c r="B117" s="2" t="s">
        <v>22</v>
      </c>
      <c r="C117" s="2" t="s">
        <v>3</v>
      </c>
      <c r="D117" s="2" t="s">
        <v>429</v>
      </c>
      <c r="E117" s="2" t="s">
        <v>430</v>
      </c>
      <c r="F117" s="2" t="s">
        <v>431</v>
      </c>
      <c r="G117" s="2"/>
      <c r="H117" s="2"/>
      <c r="I117" s="2"/>
      <c r="J117" s="2"/>
      <c r="K117" s="2">
        <f>IFERROR(VALUE(Table145[[#This Row],[Inflation Annual Pct]])," ")</f>
        <v>0</v>
      </c>
      <c r="L117" s="2">
        <f>IFERROR(VALUE(Table145[[#This Row],[Cost of Living ]])," ")</f>
        <v>0</v>
      </c>
      <c r="M117" s="2" t="b">
        <f>ISNUMBER(Table145[[#This Row],[Inflation Rate]])</f>
        <v>1</v>
      </c>
      <c r="N117" s="2" t="b">
        <f>ISNUMBER(Table145[[#This Row],[Cost of Living]])</f>
        <v>1</v>
      </c>
      <c r="O117" s="2"/>
      <c r="P117" s="2"/>
      <c r="Q117" s="2"/>
      <c r="R117" s="2"/>
      <c r="S117" s="2"/>
      <c r="T117" s="2"/>
      <c r="U117" s="2"/>
      <c r="V117" s="2"/>
      <c r="W117" s="2"/>
    </row>
    <row r="118" spans="1:23" x14ac:dyDescent="0.35">
      <c r="A118" s="2" t="s">
        <v>442</v>
      </c>
      <c r="B118" s="2" t="s">
        <v>8</v>
      </c>
      <c r="C118" s="2" t="s">
        <v>23</v>
      </c>
      <c r="D118" s="2" t="s">
        <v>443</v>
      </c>
      <c r="E118" s="2" t="s">
        <v>444</v>
      </c>
      <c r="F118" s="2" t="s">
        <v>445</v>
      </c>
      <c r="G118" s="2" t="s">
        <v>446</v>
      </c>
      <c r="H118" s="2">
        <v>2024</v>
      </c>
      <c r="I118" s="2">
        <v>32.455871402916998</v>
      </c>
      <c r="J118" s="2"/>
      <c r="K118" s="2">
        <f>IFERROR(VALUE(Table145[[#This Row],[Inflation Annual Pct]])," ")</f>
        <v>32.455871402916998</v>
      </c>
      <c r="L118" s="2">
        <f>IFERROR(VALUE(Table145[[#This Row],[Cost of Living ]])," ")</f>
        <v>0</v>
      </c>
      <c r="M118" s="2" t="b">
        <f>ISNUMBER(Table145[[#This Row],[Inflation Rate]])</f>
        <v>1</v>
      </c>
      <c r="N118" s="2" t="b">
        <f>ISNUMBER(Table145[[#This Row],[Cost of Living]])</f>
        <v>1</v>
      </c>
      <c r="O118" s="2"/>
      <c r="P118" s="2"/>
      <c r="Q118" s="2"/>
      <c r="R118" s="2"/>
      <c r="S118" s="2"/>
      <c r="T118" s="2"/>
      <c r="U118" s="2"/>
      <c r="V118" s="2"/>
      <c r="W118" s="2"/>
    </row>
    <row r="119" spans="1:23" x14ac:dyDescent="0.35">
      <c r="A119" s="2" t="s">
        <v>447</v>
      </c>
      <c r="B119" s="2" t="s">
        <v>8</v>
      </c>
      <c r="C119" s="2" t="s">
        <v>23</v>
      </c>
      <c r="D119" s="2" t="s">
        <v>448</v>
      </c>
      <c r="E119" s="2" t="s">
        <v>449</v>
      </c>
      <c r="F119" s="2" t="s">
        <v>450</v>
      </c>
      <c r="G119" s="2" t="s">
        <v>451</v>
      </c>
      <c r="H119" s="2">
        <v>2024</v>
      </c>
      <c r="I119" s="2">
        <v>2.6116961151764002</v>
      </c>
      <c r="J119" s="2"/>
      <c r="K119" s="2">
        <f>IFERROR(VALUE(Table145[[#This Row],[Inflation Annual Pct]])," ")</f>
        <v>2.6116961151764002</v>
      </c>
      <c r="L119" s="2">
        <f>IFERROR(VALUE(Table145[[#This Row],[Cost of Living ]])," ")</f>
        <v>0</v>
      </c>
      <c r="M119" s="2" t="b">
        <f>ISNUMBER(Table145[[#This Row],[Inflation Rate]])</f>
        <v>1</v>
      </c>
      <c r="N119" s="2" t="b">
        <f>ISNUMBER(Table145[[#This Row],[Cost of Living]])</f>
        <v>1</v>
      </c>
      <c r="O119" s="2"/>
      <c r="P119" s="2"/>
      <c r="Q119" s="2"/>
      <c r="R119" s="2"/>
      <c r="S119" s="2"/>
      <c r="T119" s="2"/>
      <c r="U119" s="2"/>
      <c r="V119" s="2"/>
      <c r="W119" s="2"/>
    </row>
    <row r="120" spans="1:23" x14ac:dyDescent="0.35">
      <c r="A120" s="2" t="s">
        <v>457</v>
      </c>
      <c r="B120" s="2" t="s">
        <v>8</v>
      </c>
      <c r="C120" s="2" t="s">
        <v>3</v>
      </c>
      <c r="D120" s="2"/>
      <c r="E120" s="2" t="s">
        <v>458</v>
      </c>
      <c r="F120" s="2" t="s">
        <v>459</v>
      </c>
      <c r="G120" s="2" t="s">
        <v>460</v>
      </c>
      <c r="H120" s="2">
        <v>2024</v>
      </c>
      <c r="I120" s="2">
        <v>3.0748088980502501</v>
      </c>
      <c r="J120" s="2"/>
      <c r="K120" s="2">
        <f>IFERROR(VALUE(Table145[[#This Row],[Inflation Annual Pct]])," ")</f>
        <v>3.0748088980502501</v>
      </c>
      <c r="L120" s="2">
        <f>IFERROR(VALUE(Table145[[#This Row],[Cost of Living ]])," ")</f>
        <v>0</v>
      </c>
      <c r="M120" s="2" t="b">
        <f>ISNUMBER(Table145[[#This Row],[Inflation Rate]])</f>
        <v>1</v>
      </c>
      <c r="N120" s="2" t="b">
        <f>ISNUMBER(Table145[[#This Row],[Cost of Living]])</f>
        <v>1</v>
      </c>
      <c r="O120" s="2"/>
      <c r="P120" s="2"/>
      <c r="Q120" s="2"/>
      <c r="R120" s="2"/>
      <c r="S120" s="2"/>
      <c r="T120" s="2"/>
      <c r="U120" s="2"/>
      <c r="V120" s="2"/>
      <c r="W120" s="2"/>
    </row>
    <row r="121" spans="1:23" x14ac:dyDescent="0.35">
      <c r="A121" s="2" t="s">
        <v>466</v>
      </c>
      <c r="B121" s="2" t="s">
        <v>2</v>
      </c>
      <c r="C121" s="2" t="s">
        <v>23</v>
      </c>
      <c r="D121" s="2" t="s">
        <v>467</v>
      </c>
      <c r="E121" s="2" t="s">
        <v>468</v>
      </c>
      <c r="F121" s="2" t="s">
        <v>469</v>
      </c>
      <c r="G121" s="2" t="s">
        <v>470</v>
      </c>
      <c r="H121" s="2">
        <v>2024</v>
      </c>
      <c r="I121" s="2">
        <v>5.4119444798165901</v>
      </c>
      <c r="J121" s="2"/>
      <c r="K121" s="2">
        <f>IFERROR(VALUE(Table145[[#This Row],[Inflation Annual Pct]])," ")</f>
        <v>5.4119444798165901</v>
      </c>
      <c r="L121" s="2">
        <f>IFERROR(VALUE(Table145[[#This Row],[Cost of Living ]])," ")</f>
        <v>0</v>
      </c>
      <c r="M121" s="2" t="b">
        <f>ISNUMBER(Table145[[#This Row],[Inflation Rate]])</f>
        <v>1</v>
      </c>
      <c r="N121" s="2" t="b">
        <f>ISNUMBER(Table145[[#This Row],[Cost of Living]])</f>
        <v>1</v>
      </c>
      <c r="O121" s="2"/>
      <c r="P121" s="2"/>
      <c r="Q121" s="2"/>
      <c r="R121" s="2"/>
      <c r="S121" s="2"/>
      <c r="T121" s="2"/>
      <c r="U121" s="2"/>
      <c r="V121" s="2"/>
      <c r="W121" s="2"/>
    </row>
    <row r="122" spans="1:23" x14ac:dyDescent="0.35">
      <c r="A122" s="2" t="s">
        <v>471</v>
      </c>
      <c r="B122" s="2" t="s">
        <v>8</v>
      </c>
      <c r="C122" s="2" t="s">
        <v>23</v>
      </c>
      <c r="D122" s="2" t="s">
        <v>472</v>
      </c>
      <c r="E122" s="2" t="s">
        <v>473</v>
      </c>
      <c r="F122" s="2" t="s">
        <v>474</v>
      </c>
      <c r="G122" s="2" t="s">
        <v>475</v>
      </c>
      <c r="H122" s="2">
        <v>2024</v>
      </c>
      <c r="I122" s="2">
        <v>1.55659611283953</v>
      </c>
      <c r="J122" s="2"/>
      <c r="K122" s="2">
        <f>IFERROR(VALUE(Table145[[#This Row],[Inflation Annual Pct]])," ")</f>
        <v>1.55659611283953</v>
      </c>
      <c r="L122" s="2">
        <f>IFERROR(VALUE(Table145[[#This Row],[Cost of Living ]])," ")</f>
        <v>0</v>
      </c>
      <c r="M122" s="2" t="b">
        <f>ISNUMBER(Table145[[#This Row],[Inflation Rate]])</f>
        <v>1</v>
      </c>
      <c r="N122" s="2" t="b">
        <f>ISNUMBER(Table145[[#This Row],[Cost of Living]])</f>
        <v>1</v>
      </c>
      <c r="O122" s="2"/>
      <c r="P122" s="2"/>
      <c r="Q122" s="2"/>
      <c r="R122" s="2"/>
      <c r="S122" s="2"/>
      <c r="T122" s="2"/>
      <c r="U122" s="2"/>
      <c r="V122" s="2"/>
      <c r="W122" s="2"/>
    </row>
    <row r="123" spans="1:23" x14ac:dyDescent="0.35">
      <c r="A123" s="2" t="s">
        <v>481</v>
      </c>
      <c r="B123" s="2" t="s">
        <v>22</v>
      </c>
      <c r="C123" s="2" t="s">
        <v>23</v>
      </c>
      <c r="D123" s="2" t="s">
        <v>482</v>
      </c>
      <c r="E123" s="2" t="s">
        <v>483</v>
      </c>
      <c r="F123" s="2" t="s">
        <v>484</v>
      </c>
      <c r="G123" s="2" t="s">
        <v>485</v>
      </c>
      <c r="H123" s="2">
        <v>2024</v>
      </c>
      <c r="I123" s="2">
        <v>8.69082156104494</v>
      </c>
      <c r="J123" s="2"/>
      <c r="K123" s="2">
        <f>IFERROR(VALUE(Table145[[#This Row],[Inflation Annual Pct]])," ")</f>
        <v>8.69082156104494</v>
      </c>
      <c r="L123" s="2">
        <f>IFERROR(VALUE(Table145[[#This Row],[Cost of Living ]])," ")</f>
        <v>0</v>
      </c>
      <c r="M123" s="2" t="b">
        <f>ISNUMBER(Table145[[#This Row],[Inflation Rate]])</f>
        <v>1</v>
      </c>
      <c r="N123" s="2" t="b">
        <f>ISNUMBER(Table145[[#This Row],[Cost of Living]])</f>
        <v>1</v>
      </c>
      <c r="O123" s="2"/>
      <c r="P123" s="2"/>
      <c r="Q123" s="2"/>
      <c r="R123" s="2"/>
      <c r="S123" s="2">
        <v>0.44</v>
      </c>
      <c r="T123" s="2"/>
      <c r="U123" s="2"/>
      <c r="V123" s="2"/>
      <c r="W123" s="2"/>
    </row>
    <row r="124" spans="1:23" x14ac:dyDescent="0.35">
      <c r="A124" s="2" t="s">
        <v>486</v>
      </c>
      <c r="B124" s="2" t="s">
        <v>15</v>
      </c>
      <c r="C124" s="2" t="s">
        <v>16</v>
      </c>
      <c r="D124" s="2" t="s">
        <v>487</v>
      </c>
      <c r="E124" s="2" t="s">
        <v>488</v>
      </c>
      <c r="F124" s="2" t="s">
        <v>489</v>
      </c>
      <c r="G124" s="2" t="s">
        <v>490</v>
      </c>
      <c r="H124" s="2">
        <v>2024</v>
      </c>
      <c r="I124" s="2">
        <v>4.4897885424344803</v>
      </c>
      <c r="J124" s="2"/>
      <c r="K124" s="2">
        <f>IFERROR(VALUE(Table145[[#This Row],[Inflation Annual Pct]])," ")</f>
        <v>4.4897885424344803</v>
      </c>
      <c r="L124" s="2">
        <f>IFERROR(VALUE(Table145[[#This Row],[Cost of Living ]])," ")</f>
        <v>0</v>
      </c>
      <c r="M124" s="2" t="b">
        <f>ISNUMBER(Table145[[#This Row],[Inflation Rate]])</f>
        <v>1</v>
      </c>
      <c r="N124" s="2" t="b">
        <f>ISNUMBER(Table145[[#This Row],[Cost of Living]])</f>
        <v>1</v>
      </c>
      <c r="O124" s="2"/>
      <c r="P124" s="2"/>
      <c r="Q124" s="2"/>
      <c r="R124" s="2"/>
      <c r="S124" s="2"/>
      <c r="T124" s="2"/>
      <c r="U124" s="2"/>
      <c r="V124" s="2"/>
      <c r="W124" s="2"/>
    </row>
    <row r="125" spans="1:23" x14ac:dyDescent="0.35">
      <c r="A125" s="2" t="s">
        <v>491</v>
      </c>
      <c r="B125" s="2" t="s">
        <v>22</v>
      </c>
      <c r="C125" s="2" t="s">
        <v>16</v>
      </c>
      <c r="D125" s="2" t="s">
        <v>492</v>
      </c>
      <c r="E125" s="2" t="s">
        <v>493</v>
      </c>
      <c r="F125" s="2" t="s">
        <v>494</v>
      </c>
      <c r="G125" s="2" t="s">
        <v>495</v>
      </c>
      <c r="H125" s="2">
        <v>2024</v>
      </c>
      <c r="I125" s="2">
        <v>4.9976070120732299</v>
      </c>
      <c r="J125" s="2"/>
      <c r="K125" s="2">
        <f>IFERROR(VALUE(Table145[[#This Row],[Inflation Annual Pct]])," ")</f>
        <v>4.9976070120732299</v>
      </c>
      <c r="L125" s="2">
        <f>IFERROR(VALUE(Table145[[#This Row],[Cost of Living ]])," ")</f>
        <v>0</v>
      </c>
      <c r="M125" s="2" t="b">
        <f>ISNUMBER(Table145[[#This Row],[Inflation Rate]])</f>
        <v>1</v>
      </c>
      <c r="N125" s="2" t="b">
        <f>ISNUMBER(Table145[[#This Row],[Cost of Living]])</f>
        <v>1</v>
      </c>
      <c r="O125" s="2"/>
      <c r="P125" s="2"/>
      <c r="Q125" s="2"/>
      <c r="R125" s="2"/>
      <c r="S125" s="2"/>
      <c r="T125" s="2"/>
      <c r="U125" s="2"/>
      <c r="V125" s="2"/>
      <c r="W125" s="2"/>
    </row>
    <row r="126" spans="1:23" x14ac:dyDescent="0.35">
      <c r="A126" s="2" t="s">
        <v>501</v>
      </c>
      <c r="B126" s="2" t="s">
        <v>48</v>
      </c>
      <c r="C126" s="2" t="s">
        <v>16</v>
      </c>
      <c r="D126" s="2" t="s">
        <v>502</v>
      </c>
      <c r="E126" s="2" t="s">
        <v>503</v>
      </c>
      <c r="F126" s="2" t="s">
        <v>504</v>
      </c>
      <c r="G126" s="2" t="s">
        <v>505</v>
      </c>
      <c r="H126" s="2">
        <v>2024</v>
      </c>
      <c r="I126" s="2">
        <v>2.4554507215902799</v>
      </c>
      <c r="J126" s="2"/>
      <c r="K126" s="2">
        <f>IFERROR(VALUE(Table145[[#This Row],[Inflation Annual Pct]])," ")</f>
        <v>2.4554507215902799</v>
      </c>
      <c r="L126" s="2">
        <f>IFERROR(VALUE(Table145[[#This Row],[Cost of Living ]])," ")</f>
        <v>0</v>
      </c>
      <c r="M126" s="2" t="b">
        <f>ISNUMBER(Table145[[#This Row],[Inflation Rate]])</f>
        <v>1</v>
      </c>
      <c r="N126" s="2" t="b">
        <f>ISNUMBER(Table145[[#This Row],[Cost of Living]])</f>
        <v>1</v>
      </c>
      <c r="O126" s="2"/>
      <c r="P126" s="2"/>
      <c r="Q126" s="2"/>
      <c r="R126" s="2"/>
      <c r="S126" s="2"/>
      <c r="T126" s="2"/>
      <c r="U126" s="2"/>
      <c r="V126" s="2"/>
      <c r="W126" s="2"/>
    </row>
    <row r="127" spans="1:23" x14ac:dyDescent="0.35">
      <c r="A127" s="2" t="s">
        <v>506</v>
      </c>
      <c r="B127" s="2" t="s">
        <v>2</v>
      </c>
      <c r="C127" s="2" t="s">
        <v>3</v>
      </c>
      <c r="D127" s="2" t="s">
        <v>507</v>
      </c>
      <c r="E127" s="2" t="s">
        <v>508</v>
      </c>
      <c r="F127" s="2" t="s">
        <v>509</v>
      </c>
      <c r="G127" s="2" t="s">
        <v>510</v>
      </c>
      <c r="H127" s="2">
        <v>2023</v>
      </c>
      <c r="I127" s="2">
        <v>3.5571123084824299</v>
      </c>
      <c r="J127" s="2"/>
      <c r="K127" s="2">
        <f>IFERROR(VALUE(Table145[[#This Row],[Inflation Annual Pct]])," ")</f>
        <v>3.5571123084824299</v>
      </c>
      <c r="L127" s="2">
        <f>IFERROR(VALUE(Table145[[#This Row],[Cost of Living ]])," ")</f>
        <v>0</v>
      </c>
      <c r="M127" s="2" t="b">
        <f>ISNUMBER(Table145[[#This Row],[Inflation Rate]])</f>
        <v>1</v>
      </c>
      <c r="N127" s="2" t="b">
        <f>ISNUMBER(Table145[[#This Row],[Cost of Living]])</f>
        <v>1</v>
      </c>
      <c r="O127" s="2"/>
      <c r="P127" s="2"/>
      <c r="Q127" s="2"/>
      <c r="R127" s="2"/>
      <c r="S127" s="2"/>
      <c r="T127" s="2"/>
      <c r="U127" s="2"/>
      <c r="V127" s="2"/>
      <c r="W127" s="2"/>
    </row>
    <row r="128" spans="1:23" x14ac:dyDescent="0.35">
      <c r="A128" s="2" t="s">
        <v>511</v>
      </c>
      <c r="B128" s="2" t="s">
        <v>48</v>
      </c>
      <c r="C128" s="2" t="s">
        <v>3</v>
      </c>
      <c r="D128" s="2" t="s">
        <v>512</v>
      </c>
      <c r="E128" s="2" t="s">
        <v>513</v>
      </c>
      <c r="F128" s="2" t="s">
        <v>514</v>
      </c>
      <c r="G128" s="2" t="s">
        <v>515</v>
      </c>
      <c r="H128" s="2">
        <v>2024</v>
      </c>
      <c r="I128" s="2">
        <v>2.3217432864354199</v>
      </c>
      <c r="J128" s="2"/>
      <c r="K128" s="2">
        <f>IFERROR(VALUE(Table145[[#This Row],[Inflation Annual Pct]])," ")</f>
        <v>2.3217432864354199</v>
      </c>
      <c r="L128" s="2">
        <f>IFERROR(VALUE(Table145[[#This Row],[Cost of Living ]])," ")</f>
        <v>0</v>
      </c>
      <c r="M128" s="2" t="b">
        <f>ISNUMBER(Table145[[#This Row],[Inflation Rate]])</f>
        <v>1</v>
      </c>
      <c r="N128" s="2" t="b">
        <f>ISNUMBER(Table145[[#This Row],[Cost of Living]])</f>
        <v>1</v>
      </c>
      <c r="O128" s="2"/>
      <c r="P128" s="2"/>
      <c r="Q128" s="2"/>
      <c r="R128" s="2"/>
      <c r="S128" s="2"/>
      <c r="T128" s="2"/>
      <c r="U128" s="2"/>
      <c r="V128" s="2"/>
      <c r="W128" s="2"/>
    </row>
    <row r="129" spans="1:23" x14ac:dyDescent="0.35">
      <c r="A129" s="2" t="s">
        <v>521</v>
      </c>
      <c r="B129" s="2" t="s">
        <v>48</v>
      </c>
      <c r="C129" s="2" t="s">
        <v>16</v>
      </c>
      <c r="D129" s="2" t="s">
        <v>522</v>
      </c>
      <c r="E129" s="2" t="s">
        <v>523</v>
      </c>
      <c r="F129" s="2" t="s">
        <v>524</v>
      </c>
      <c r="G129" s="2" t="s">
        <v>525</v>
      </c>
      <c r="H129" s="2">
        <v>2024</v>
      </c>
      <c r="I129" s="2">
        <v>23.130569594258802</v>
      </c>
      <c r="J129" s="2"/>
      <c r="K129" s="2">
        <f>IFERROR(VALUE(Table145[[#This Row],[Inflation Annual Pct]])," ")</f>
        <v>23.130569594258802</v>
      </c>
      <c r="L129" s="2">
        <f>IFERROR(VALUE(Table145[[#This Row],[Cost of Living ]])," ")</f>
        <v>0</v>
      </c>
      <c r="M129" s="2" t="b">
        <f>ISNUMBER(Table145[[#This Row],[Inflation Rate]])</f>
        <v>1</v>
      </c>
      <c r="N129" s="2" t="b">
        <f>ISNUMBER(Table145[[#This Row],[Cost of Living]])</f>
        <v>1</v>
      </c>
      <c r="O129" s="2"/>
      <c r="P129" s="2"/>
      <c r="Q129" s="2"/>
      <c r="R129" s="2"/>
      <c r="S129" s="2"/>
      <c r="T129" s="2"/>
      <c r="U129" s="2"/>
      <c r="V129" s="2"/>
      <c r="W129" s="2"/>
    </row>
    <row r="130" spans="1:23" x14ac:dyDescent="0.35">
      <c r="A130" s="2" t="s">
        <v>526</v>
      </c>
      <c r="B130" s="2" t="s">
        <v>8</v>
      </c>
      <c r="C130" s="2" t="s">
        <v>16</v>
      </c>
      <c r="D130" s="2" t="s">
        <v>527</v>
      </c>
      <c r="E130" s="2" t="s">
        <v>528</v>
      </c>
      <c r="F130" s="2" t="s">
        <v>529</v>
      </c>
      <c r="G130" s="2" t="s">
        <v>530</v>
      </c>
      <c r="H130" s="2">
        <v>2024</v>
      </c>
      <c r="I130" s="2">
        <v>45.243042271671797</v>
      </c>
      <c r="J130" s="2"/>
      <c r="K130" s="2">
        <f>IFERROR(VALUE(Table145[[#This Row],[Inflation Annual Pct]])," ")</f>
        <v>45.243042271671797</v>
      </c>
      <c r="L130" s="2">
        <f>IFERROR(VALUE(Table145[[#This Row],[Cost of Living ]])," ")</f>
        <v>0</v>
      </c>
      <c r="M130" s="2" t="b">
        <f>ISNUMBER(Table145[[#This Row],[Inflation Rate]])</f>
        <v>1</v>
      </c>
      <c r="N130" s="2" t="b">
        <f>ISNUMBER(Table145[[#This Row],[Cost of Living]])</f>
        <v>1</v>
      </c>
      <c r="O130" s="2"/>
      <c r="P130" s="2"/>
      <c r="Q130" s="2"/>
      <c r="R130" s="2"/>
      <c r="S130" s="2"/>
      <c r="T130" s="2"/>
      <c r="U130" s="2"/>
      <c r="V130" s="2"/>
      <c r="W130" s="2"/>
    </row>
    <row r="131" spans="1:23" x14ac:dyDescent="0.35">
      <c r="A131" s="2" t="s">
        <v>531</v>
      </c>
      <c r="B131" s="2" t="s">
        <v>15</v>
      </c>
      <c r="C131" s="2" t="s">
        <v>9</v>
      </c>
      <c r="D131" s="2" t="s">
        <v>532</v>
      </c>
      <c r="E131" s="2" t="s">
        <v>533</v>
      </c>
      <c r="F131" s="2" t="s">
        <v>534</v>
      </c>
      <c r="G131" s="2" t="s">
        <v>535</v>
      </c>
      <c r="H131" s="2">
        <v>2024</v>
      </c>
      <c r="I131" s="2">
        <v>8.2149743911896405</v>
      </c>
      <c r="J131" s="2"/>
      <c r="K131" s="2">
        <f>IFERROR(VALUE(Table145[[#This Row],[Inflation Annual Pct]])," ")</f>
        <v>8.2149743911896405</v>
      </c>
      <c r="L131" s="2">
        <f>IFERROR(VALUE(Table145[[#This Row],[Cost of Living ]])," ")</f>
        <v>0</v>
      </c>
      <c r="M131" s="2" t="b">
        <f>ISNUMBER(Table145[[#This Row],[Inflation Rate]])</f>
        <v>1</v>
      </c>
      <c r="N131" s="2" t="b">
        <f>ISNUMBER(Table145[[#This Row],[Cost of Living]])</f>
        <v>1</v>
      </c>
      <c r="O131" s="2"/>
      <c r="P131" s="2"/>
      <c r="Q131" s="2"/>
      <c r="R131" s="2"/>
      <c r="S131" s="2"/>
      <c r="T131" s="2"/>
      <c r="U131" s="2"/>
      <c r="V131" s="2"/>
      <c r="W131" s="2"/>
    </row>
    <row r="132" spans="1:23" x14ac:dyDescent="0.35">
      <c r="A132" s="2" t="s">
        <v>536</v>
      </c>
      <c r="B132" s="2" t="s">
        <v>8</v>
      </c>
      <c r="C132" s="2" t="s">
        <v>23</v>
      </c>
      <c r="D132" s="2" t="s">
        <v>537</v>
      </c>
      <c r="E132" s="2" t="s">
        <v>538</v>
      </c>
      <c r="F132" s="2" t="s">
        <v>539</v>
      </c>
      <c r="G132" s="2" t="s">
        <v>540</v>
      </c>
      <c r="H132" s="2">
        <v>2024</v>
      </c>
      <c r="I132" s="2">
        <v>2.12615766885021</v>
      </c>
      <c r="J132" s="2"/>
      <c r="K132" s="2">
        <f>IFERROR(VALUE(Table145[[#This Row],[Inflation Annual Pct]])," ")</f>
        <v>2.12615766885021</v>
      </c>
      <c r="L132" s="2">
        <f>IFERROR(VALUE(Table145[[#This Row],[Cost of Living ]])," ")</f>
        <v>0</v>
      </c>
      <c r="M132" s="2" t="b">
        <f>ISNUMBER(Table145[[#This Row],[Inflation Rate]])</f>
        <v>1</v>
      </c>
      <c r="N132" s="2" t="b">
        <f>ISNUMBER(Table145[[#This Row],[Cost of Living]])</f>
        <v>1</v>
      </c>
      <c r="O132" s="2"/>
      <c r="P132" s="2"/>
      <c r="Q132" s="2"/>
      <c r="R132" s="2"/>
      <c r="S132" s="2"/>
      <c r="T132" s="2"/>
      <c r="U132" s="2"/>
      <c r="V132" s="2"/>
      <c r="W132" s="2"/>
    </row>
    <row r="133" spans="1:23" x14ac:dyDescent="0.35">
      <c r="A133" s="2" t="s">
        <v>541</v>
      </c>
      <c r="B133" s="2" t="s">
        <v>2</v>
      </c>
      <c r="C133" s="2" t="s">
        <v>23</v>
      </c>
      <c r="D133" s="2" t="s">
        <v>542</v>
      </c>
      <c r="E133" s="2" t="s">
        <v>543</v>
      </c>
      <c r="F133" s="2" t="s">
        <v>544</v>
      </c>
      <c r="G133" s="2" t="s">
        <v>545</v>
      </c>
      <c r="H133" s="2">
        <v>2024</v>
      </c>
      <c r="I133" s="2">
        <v>-0.67424085341877904</v>
      </c>
      <c r="J133" s="2"/>
      <c r="K133" s="2">
        <f>IFERROR(VALUE(Table145[[#This Row],[Inflation Annual Pct]])," ")</f>
        <v>-0.67424085341877904</v>
      </c>
      <c r="L133" s="2">
        <f>IFERROR(VALUE(Table145[[#This Row],[Cost of Living ]])," ")</f>
        <v>0</v>
      </c>
      <c r="M133" s="2" t="b">
        <f>ISNUMBER(Table145[[#This Row],[Inflation Rate]])</f>
        <v>1</v>
      </c>
      <c r="N133" s="2" t="b">
        <f>ISNUMBER(Table145[[#This Row],[Cost of Living]])</f>
        <v>1</v>
      </c>
      <c r="O133" s="2"/>
      <c r="P133" s="2"/>
      <c r="Q133" s="2"/>
      <c r="R133" s="2"/>
      <c r="S133" s="2"/>
      <c r="T133" s="2"/>
      <c r="U133" s="2"/>
      <c r="V133" s="2"/>
      <c r="W133" s="2"/>
    </row>
    <row r="134" spans="1:23" x14ac:dyDescent="0.35">
      <c r="A134" s="2" t="s">
        <v>546</v>
      </c>
      <c r="B134" s="2" t="s">
        <v>22</v>
      </c>
      <c r="C134" s="2" t="s">
        <v>3</v>
      </c>
      <c r="D134" s="2" t="s">
        <v>547</v>
      </c>
      <c r="E134" s="2" t="s">
        <v>548</v>
      </c>
      <c r="F134" s="2" t="s">
        <v>549</v>
      </c>
      <c r="G134" s="2"/>
      <c r="H134" s="2"/>
      <c r="I134" s="2"/>
      <c r="J134" s="2"/>
      <c r="K134" s="2">
        <f>IFERROR(VALUE(Table145[[#This Row],[Inflation Annual Pct]])," ")</f>
        <v>0</v>
      </c>
      <c r="L134" s="2">
        <f>IFERROR(VALUE(Table145[[#This Row],[Cost of Living ]])," ")</f>
        <v>0</v>
      </c>
      <c r="M134" s="2" t="b">
        <f>ISNUMBER(Table145[[#This Row],[Inflation Rate]])</f>
        <v>1</v>
      </c>
      <c r="N134" s="2" t="b">
        <f>ISNUMBER(Table145[[#This Row],[Cost of Living]])</f>
        <v>1</v>
      </c>
      <c r="O134" s="2"/>
      <c r="P134" s="2"/>
      <c r="Q134" s="2"/>
      <c r="R134" s="2"/>
      <c r="S134" s="2"/>
      <c r="T134" s="2"/>
      <c r="U134" s="2"/>
      <c r="V134" s="2"/>
      <c r="W134" s="2"/>
    </row>
    <row r="135" spans="1:23" x14ac:dyDescent="0.35">
      <c r="A135" s="2" t="s">
        <v>555</v>
      </c>
      <c r="B135" s="2" t="s">
        <v>15</v>
      </c>
      <c r="C135" s="2" t="s">
        <v>16</v>
      </c>
      <c r="D135" s="2" t="s">
        <v>556</v>
      </c>
      <c r="E135" s="2" t="s">
        <v>557</v>
      </c>
      <c r="F135" s="2" t="s">
        <v>558</v>
      </c>
      <c r="G135" s="2" t="s">
        <v>559</v>
      </c>
      <c r="H135" s="2">
        <v>2024</v>
      </c>
      <c r="I135" s="2">
        <v>6.10544624245032</v>
      </c>
      <c r="J135" s="2"/>
      <c r="K135" s="2">
        <f>IFERROR(VALUE(Table145[[#This Row],[Inflation Annual Pct]])," ")</f>
        <v>6.10544624245032</v>
      </c>
      <c r="L135" s="2">
        <f>IFERROR(VALUE(Table145[[#This Row],[Cost of Living ]])," ")</f>
        <v>0</v>
      </c>
      <c r="M135" s="2" t="b">
        <f>ISNUMBER(Table145[[#This Row],[Inflation Rate]])</f>
        <v>1</v>
      </c>
      <c r="N135" s="2" t="b">
        <f>ISNUMBER(Table145[[#This Row],[Cost of Living]])</f>
        <v>1</v>
      </c>
      <c r="O135" s="2"/>
      <c r="P135" s="2"/>
      <c r="Q135" s="2"/>
      <c r="R135" s="2"/>
      <c r="S135" s="2"/>
      <c r="T135" s="2"/>
      <c r="U135" s="2"/>
      <c r="V135" s="2"/>
      <c r="W135" s="2"/>
    </row>
    <row r="136" spans="1:23" x14ac:dyDescent="0.35">
      <c r="A136" s="2" t="s">
        <v>560</v>
      </c>
      <c r="B136" s="2" t="s">
        <v>22</v>
      </c>
      <c r="C136" s="2" t="s">
        <v>3</v>
      </c>
      <c r="D136" s="2" t="s">
        <v>561</v>
      </c>
      <c r="E136" s="2" t="s">
        <v>562</v>
      </c>
      <c r="F136" s="2" t="s">
        <v>563</v>
      </c>
      <c r="G136" s="2" t="s">
        <v>564</v>
      </c>
      <c r="H136" s="2">
        <v>2024</v>
      </c>
      <c r="I136" s="2">
        <v>0.71573583522872297</v>
      </c>
      <c r="J136" s="2"/>
      <c r="K136" s="2">
        <f>IFERROR(VALUE(Table145[[#This Row],[Inflation Annual Pct]])," ")</f>
        <v>0.71573583522872297</v>
      </c>
      <c r="L136" s="2">
        <f>IFERROR(VALUE(Table145[[#This Row],[Cost of Living ]])," ")</f>
        <v>0</v>
      </c>
      <c r="M136" s="2" t="b">
        <f>ISNUMBER(Table145[[#This Row],[Inflation Rate]])</f>
        <v>1</v>
      </c>
      <c r="N136" s="2" t="b">
        <f>ISNUMBER(Table145[[#This Row],[Cost of Living]])</f>
        <v>1</v>
      </c>
      <c r="O136" s="2"/>
      <c r="P136" s="2"/>
      <c r="Q136" s="2"/>
      <c r="R136" s="2"/>
      <c r="S136" s="2"/>
      <c r="T136" s="2"/>
      <c r="U136" s="2"/>
      <c r="V136" s="2"/>
      <c r="W136" s="2"/>
    </row>
    <row r="137" spans="1:23" x14ac:dyDescent="0.35">
      <c r="A137" s="2" t="s">
        <v>565</v>
      </c>
      <c r="B137" s="2" t="s">
        <v>22</v>
      </c>
      <c r="C137" s="2" t="s">
        <v>3</v>
      </c>
      <c r="D137" s="2" t="s">
        <v>565</v>
      </c>
      <c r="E137" s="2" t="s">
        <v>566</v>
      </c>
      <c r="F137" s="2" t="s">
        <v>567</v>
      </c>
      <c r="G137" s="2" t="s">
        <v>568</v>
      </c>
      <c r="H137" s="2">
        <v>2024</v>
      </c>
      <c r="I137" s="2">
        <v>2.0511326995485901</v>
      </c>
      <c r="J137" s="2"/>
      <c r="K137" s="2">
        <f>IFERROR(VALUE(Table145[[#This Row],[Inflation Annual Pct]])," ")</f>
        <v>2.0511326995485901</v>
      </c>
      <c r="L137" s="2">
        <f>IFERROR(VALUE(Table145[[#This Row],[Cost of Living ]])," ")</f>
        <v>0</v>
      </c>
      <c r="M137" s="2" t="b">
        <f>ISNUMBER(Table145[[#This Row],[Inflation Rate]])</f>
        <v>1</v>
      </c>
      <c r="N137" s="2" t="b">
        <f>ISNUMBER(Table145[[#This Row],[Cost of Living]])</f>
        <v>1</v>
      </c>
      <c r="O137" s="2"/>
      <c r="P137" s="2"/>
      <c r="Q137" s="2"/>
      <c r="R137" s="2"/>
      <c r="S137" s="2"/>
      <c r="T137" s="2"/>
      <c r="U137" s="2"/>
      <c r="V137" s="2"/>
      <c r="W137" s="2"/>
    </row>
    <row r="138" spans="1:23" x14ac:dyDescent="0.35">
      <c r="A138" s="2" t="s">
        <v>569</v>
      </c>
      <c r="B138" s="2" t="s">
        <v>22</v>
      </c>
      <c r="C138" s="2" t="s">
        <v>3</v>
      </c>
      <c r="D138" s="2" t="s">
        <v>570</v>
      </c>
      <c r="E138" s="2" t="s">
        <v>571</v>
      </c>
      <c r="F138" s="2" t="s">
        <v>572</v>
      </c>
      <c r="G138" s="2" t="s">
        <v>573</v>
      </c>
      <c r="H138" s="2">
        <v>2024</v>
      </c>
      <c r="I138" s="2">
        <v>1.2657988582872901</v>
      </c>
      <c r="J138" s="2"/>
      <c r="K138" s="2">
        <f>IFERROR(VALUE(Table145[[#This Row],[Inflation Annual Pct]])," ")</f>
        <v>1.2657988582872901</v>
      </c>
      <c r="L138" s="2">
        <f>IFERROR(VALUE(Table145[[#This Row],[Cost of Living ]])," ")</f>
        <v>0</v>
      </c>
      <c r="M138" s="2" t="b">
        <f>ISNUMBER(Table145[[#This Row],[Inflation Rate]])</f>
        <v>1</v>
      </c>
      <c r="N138" s="2" t="b">
        <f>ISNUMBER(Table145[[#This Row],[Cost of Living]])</f>
        <v>1</v>
      </c>
      <c r="O138" s="2"/>
      <c r="P138" s="2"/>
      <c r="Q138" s="2"/>
      <c r="R138" s="2"/>
      <c r="S138" s="2"/>
      <c r="T138" s="2"/>
      <c r="U138" s="2"/>
      <c r="V138" s="2"/>
      <c r="W138" s="2"/>
    </row>
    <row r="139" spans="1:23" x14ac:dyDescent="0.35">
      <c r="A139" s="2" t="s">
        <v>574</v>
      </c>
      <c r="B139" s="2" t="s">
        <v>48</v>
      </c>
      <c r="C139" s="2" t="s">
        <v>3</v>
      </c>
      <c r="D139" s="2"/>
      <c r="E139" s="2" t="s">
        <v>575</v>
      </c>
      <c r="F139" s="2" t="s">
        <v>576</v>
      </c>
      <c r="G139" s="2" t="s">
        <v>577</v>
      </c>
      <c r="H139" s="2">
        <v>2024</v>
      </c>
      <c r="I139" s="2">
        <v>0.67249859885436503</v>
      </c>
      <c r="J139" s="2"/>
      <c r="K139" s="2">
        <f>IFERROR(VALUE(Table145[[#This Row],[Inflation Annual Pct]])," ")</f>
        <v>0.67249859885436503</v>
      </c>
      <c r="L139" s="2">
        <f>IFERROR(VALUE(Table145[[#This Row],[Cost of Living ]])," ")</f>
        <v>0</v>
      </c>
      <c r="M139" s="2" t="b">
        <f>ISNUMBER(Table145[[#This Row],[Inflation Rate]])</f>
        <v>1</v>
      </c>
      <c r="N139" s="2" t="b">
        <f>ISNUMBER(Table145[[#This Row],[Cost of Living]])</f>
        <v>1</v>
      </c>
      <c r="O139" s="2"/>
      <c r="P139" s="2"/>
      <c r="Q139" s="2"/>
      <c r="R139" s="2"/>
      <c r="S139" s="2"/>
      <c r="T139" s="2"/>
      <c r="U139" s="2"/>
      <c r="V139" s="2"/>
      <c r="W139" s="2"/>
    </row>
    <row r="140" spans="1:23" x14ac:dyDescent="0.35">
      <c r="A140" s="2" t="s">
        <v>578</v>
      </c>
      <c r="B140" s="2" t="s">
        <v>2</v>
      </c>
      <c r="C140" s="2" t="s">
        <v>3</v>
      </c>
      <c r="D140" s="2" t="s">
        <v>579</v>
      </c>
      <c r="E140" s="2"/>
      <c r="F140" s="2"/>
      <c r="G140" s="2"/>
      <c r="H140" s="2"/>
      <c r="I140" s="2"/>
      <c r="J140" s="2"/>
      <c r="K140" s="2">
        <f>IFERROR(VALUE(Table145[[#This Row],[Inflation Annual Pct]])," ")</f>
        <v>0</v>
      </c>
      <c r="L140" s="2">
        <f>IFERROR(VALUE(Table145[[#This Row],[Cost of Living ]])," ")</f>
        <v>0</v>
      </c>
      <c r="M140" s="2" t="b">
        <f>ISNUMBER(Table145[[#This Row],[Inflation Rate]])</f>
        <v>1</v>
      </c>
      <c r="N140" s="2" t="b">
        <f>ISNUMBER(Table145[[#This Row],[Cost of Living]])</f>
        <v>1</v>
      </c>
      <c r="O140" s="2"/>
      <c r="P140" s="2"/>
      <c r="Q140" s="2"/>
      <c r="R140" s="2"/>
      <c r="S140" s="2"/>
      <c r="T140" s="2"/>
      <c r="U140" s="2"/>
      <c r="V140" s="2"/>
      <c r="W140" s="2"/>
    </row>
    <row r="141" spans="1:23" x14ac:dyDescent="0.35">
      <c r="A141" s="2" t="s">
        <v>580</v>
      </c>
      <c r="B141" s="2" t="s">
        <v>8</v>
      </c>
      <c r="C141" s="2" t="s">
        <v>16</v>
      </c>
      <c r="D141" s="2" t="s">
        <v>581</v>
      </c>
      <c r="E141" s="2" t="s">
        <v>582</v>
      </c>
      <c r="F141" s="2" t="s">
        <v>583</v>
      </c>
      <c r="G141" s="2" t="s">
        <v>584</v>
      </c>
      <c r="H141" s="2">
        <v>2024</v>
      </c>
      <c r="I141" s="2">
        <v>0.98525659200450699</v>
      </c>
      <c r="J141" s="2"/>
      <c r="K141" s="2">
        <f>IFERROR(VALUE(Table145[[#This Row],[Inflation Annual Pct]])," ")</f>
        <v>0.98525659200450699</v>
      </c>
      <c r="L141" s="2">
        <f>IFERROR(VALUE(Table145[[#This Row],[Cost of Living ]])," ")</f>
        <v>0</v>
      </c>
      <c r="M141" s="2" t="b">
        <f>ISNUMBER(Table145[[#This Row],[Inflation Rate]])</f>
        <v>1</v>
      </c>
      <c r="N141" s="2" t="b">
        <f>ISNUMBER(Table145[[#This Row],[Cost of Living]])</f>
        <v>1</v>
      </c>
      <c r="O141" s="2"/>
      <c r="P141" s="2"/>
      <c r="Q141" s="2"/>
      <c r="R141" s="2"/>
      <c r="S141" s="2"/>
      <c r="T141" s="2"/>
      <c r="U141" s="2"/>
      <c r="V141" s="2"/>
      <c r="W141" s="2"/>
    </row>
    <row r="142" spans="1:23" x14ac:dyDescent="0.35">
      <c r="A142" s="2" t="s">
        <v>585</v>
      </c>
      <c r="B142" s="2" t="s">
        <v>22</v>
      </c>
      <c r="C142" s="2" t="s">
        <v>3</v>
      </c>
      <c r="D142" s="2" t="s">
        <v>585</v>
      </c>
      <c r="E142" s="2" t="s">
        <v>586</v>
      </c>
      <c r="F142" s="2" t="s">
        <v>587</v>
      </c>
      <c r="G142" s="2"/>
      <c r="H142" s="2"/>
      <c r="I142" s="2"/>
      <c r="J142" s="2"/>
      <c r="K142" s="2">
        <f>IFERROR(VALUE(Table145[[#This Row],[Inflation Annual Pct]])," ")</f>
        <v>0</v>
      </c>
      <c r="L142" s="2">
        <f>IFERROR(VALUE(Table145[[#This Row],[Cost of Living ]])," ")</f>
        <v>0</v>
      </c>
      <c r="M142" s="2" t="b">
        <f>ISNUMBER(Table145[[#This Row],[Inflation Rate]])</f>
        <v>1</v>
      </c>
      <c r="N142" s="2" t="b">
        <f>ISNUMBER(Table145[[#This Row],[Cost of Living]])</f>
        <v>1</v>
      </c>
      <c r="O142" s="2"/>
      <c r="P142" s="2"/>
      <c r="Q142" s="2"/>
      <c r="R142" s="2"/>
      <c r="S142" s="2">
        <v>5.37</v>
      </c>
      <c r="T142" s="2"/>
      <c r="U142" s="2"/>
      <c r="V142" s="2"/>
      <c r="W142" s="2"/>
    </row>
    <row r="143" spans="1:23" x14ac:dyDescent="0.35">
      <c r="A143" s="2" t="s">
        <v>588</v>
      </c>
      <c r="B143" s="2" t="s">
        <v>22</v>
      </c>
      <c r="C143" s="2" t="s">
        <v>23</v>
      </c>
      <c r="D143" s="2" t="s">
        <v>589</v>
      </c>
      <c r="E143" s="2" t="s">
        <v>590</v>
      </c>
      <c r="F143" s="2" t="s">
        <v>591</v>
      </c>
      <c r="G143" s="2" t="s">
        <v>592</v>
      </c>
      <c r="H143" s="2">
        <v>2024</v>
      </c>
      <c r="I143" s="2">
        <v>4.6777351600704797</v>
      </c>
      <c r="J143" s="2"/>
      <c r="K143" s="2">
        <f>IFERROR(VALUE(Table145[[#This Row],[Inflation Annual Pct]])," ")</f>
        <v>4.6777351600704797</v>
      </c>
      <c r="L143" s="2">
        <f>IFERROR(VALUE(Table145[[#This Row],[Cost of Living ]])," ")</f>
        <v>0</v>
      </c>
      <c r="M143" s="2" t="b">
        <f>ISNUMBER(Table145[[#This Row],[Inflation Rate]])</f>
        <v>1</v>
      </c>
      <c r="N143" s="2" t="b">
        <f>ISNUMBER(Table145[[#This Row],[Cost of Living]])</f>
        <v>1</v>
      </c>
      <c r="O143" s="2"/>
      <c r="P143" s="2"/>
      <c r="Q143" s="2"/>
      <c r="R143" s="2"/>
      <c r="S143" s="2"/>
      <c r="T143" s="2"/>
      <c r="U143" s="2"/>
      <c r="V143" s="2"/>
      <c r="W143" s="2"/>
    </row>
    <row r="144" spans="1:23" x14ac:dyDescent="0.35">
      <c r="A144" s="2" t="s">
        <v>593</v>
      </c>
      <c r="B144" s="2" t="s">
        <v>15</v>
      </c>
      <c r="C144" s="2" t="s">
        <v>9</v>
      </c>
      <c r="D144" s="2" t="s">
        <v>594</v>
      </c>
      <c r="E144" s="2" t="s">
        <v>595</v>
      </c>
      <c r="F144" s="2" t="s">
        <v>596</v>
      </c>
      <c r="G144" s="2" t="s">
        <v>597</v>
      </c>
      <c r="H144" s="2">
        <v>2024</v>
      </c>
      <c r="I144" s="2">
        <v>7.61335784313723</v>
      </c>
      <c r="J144" s="2"/>
      <c r="K144" s="2">
        <f>IFERROR(VALUE(Table145[[#This Row],[Inflation Annual Pct]])," ")</f>
        <v>7.61335784313723</v>
      </c>
      <c r="L144" s="2">
        <f>IFERROR(VALUE(Table145[[#This Row],[Cost of Living ]])," ")</f>
        <v>0</v>
      </c>
      <c r="M144" s="2" t="b">
        <f>ISNUMBER(Table145[[#This Row],[Inflation Rate]])</f>
        <v>1</v>
      </c>
      <c r="N144" s="2" t="b">
        <f>ISNUMBER(Table145[[#This Row],[Cost of Living]])</f>
        <v>1</v>
      </c>
      <c r="O144" s="2"/>
      <c r="P144" s="2"/>
      <c r="Q144" s="2"/>
      <c r="R144" s="2"/>
      <c r="S144" s="2"/>
      <c r="T144" s="2"/>
      <c r="U144" s="2"/>
      <c r="V144" s="2"/>
      <c r="W144" s="2"/>
    </row>
    <row r="145" spans="1:23" x14ac:dyDescent="0.35">
      <c r="A145" s="2" t="s">
        <v>598</v>
      </c>
      <c r="B145" s="2" t="s">
        <v>93</v>
      </c>
      <c r="C145" s="2" t="s">
        <v>23</v>
      </c>
      <c r="D145" s="2" t="s">
        <v>599</v>
      </c>
      <c r="E145" s="2" t="s">
        <v>600</v>
      </c>
      <c r="F145" s="2" t="s">
        <v>601</v>
      </c>
      <c r="G145" s="2" t="s">
        <v>602</v>
      </c>
      <c r="H145" s="2">
        <v>2024</v>
      </c>
      <c r="I145" s="2">
        <v>1.4109352791013401</v>
      </c>
      <c r="J145" s="2"/>
      <c r="K145" s="2">
        <f>IFERROR(VALUE(Table145[[#This Row],[Inflation Annual Pct]])," ")</f>
        <v>1.4109352791013401</v>
      </c>
      <c r="L145" s="2">
        <f>IFERROR(VALUE(Table145[[#This Row],[Cost of Living ]])," ")</f>
        <v>0</v>
      </c>
      <c r="M145" s="2" t="b">
        <f>ISNUMBER(Table145[[#This Row],[Inflation Rate]])</f>
        <v>1</v>
      </c>
      <c r="N145" s="2" t="b">
        <f>ISNUMBER(Table145[[#This Row],[Cost of Living]])</f>
        <v>1</v>
      </c>
      <c r="O145" s="2"/>
      <c r="P145" s="2"/>
      <c r="Q145" s="2"/>
      <c r="R145" s="2"/>
      <c r="S145" s="2"/>
      <c r="T145" s="2"/>
      <c r="U145" s="2"/>
      <c r="V145" s="2"/>
      <c r="W145" s="2"/>
    </row>
    <row r="146" spans="1:23" x14ac:dyDescent="0.35">
      <c r="A146" s="2" t="s">
        <v>608</v>
      </c>
      <c r="B146" s="2" t="s">
        <v>48</v>
      </c>
      <c r="C146" s="2" t="s">
        <v>23</v>
      </c>
      <c r="D146" s="2" t="s">
        <v>609</v>
      </c>
      <c r="E146" s="2" t="s">
        <v>610</v>
      </c>
      <c r="F146" s="2" t="s">
        <v>611</v>
      </c>
      <c r="G146" s="2"/>
      <c r="H146" s="2"/>
      <c r="I146" s="2"/>
      <c r="J146" s="2"/>
      <c r="K146" s="2">
        <f>IFERROR(VALUE(Table145[[#This Row],[Inflation Annual Pct]])," ")</f>
        <v>0</v>
      </c>
      <c r="L146" s="2">
        <f>IFERROR(VALUE(Table145[[#This Row],[Cost of Living ]])," ")</f>
        <v>0</v>
      </c>
      <c r="M146" s="2" t="b">
        <f>ISNUMBER(Table145[[#This Row],[Inflation Rate]])</f>
        <v>1</v>
      </c>
      <c r="N146" s="2" t="b">
        <f>ISNUMBER(Table145[[#This Row],[Cost of Living]])</f>
        <v>1</v>
      </c>
      <c r="O146" s="2"/>
      <c r="P146" s="2"/>
      <c r="Q146" s="2"/>
      <c r="R146" s="2"/>
      <c r="S146" s="2"/>
      <c r="T146" s="2"/>
      <c r="U146" s="2"/>
      <c r="V146" s="2"/>
      <c r="W146" s="2"/>
    </row>
    <row r="147" spans="1:23" x14ac:dyDescent="0.35">
      <c r="A147" s="2" t="s">
        <v>612</v>
      </c>
      <c r="B147" s="2" t="s">
        <v>22</v>
      </c>
      <c r="C147" s="2" t="s">
        <v>23</v>
      </c>
      <c r="D147" s="2" t="s">
        <v>613</v>
      </c>
      <c r="E147" s="2" t="s">
        <v>614</v>
      </c>
      <c r="F147" s="2" t="s">
        <v>615</v>
      </c>
      <c r="G147" s="2" t="s">
        <v>616</v>
      </c>
      <c r="H147" s="2">
        <v>2024</v>
      </c>
      <c r="I147" s="2">
        <v>3.4897408602695399</v>
      </c>
      <c r="J147" s="2"/>
      <c r="K147" s="2">
        <f>IFERROR(VALUE(Table145[[#This Row],[Inflation Annual Pct]])," ")</f>
        <v>3.4897408602695399</v>
      </c>
      <c r="L147" s="2">
        <f>IFERROR(VALUE(Table145[[#This Row],[Cost of Living ]])," ")</f>
        <v>0</v>
      </c>
      <c r="M147" s="2" t="b">
        <f>ISNUMBER(Table145[[#This Row],[Inflation Rate]])</f>
        <v>1</v>
      </c>
      <c r="N147" s="2" t="b">
        <f>ISNUMBER(Table145[[#This Row],[Cost of Living]])</f>
        <v>1</v>
      </c>
      <c r="O147" s="2"/>
      <c r="P147" s="2"/>
      <c r="Q147" s="2"/>
      <c r="R147" s="2"/>
      <c r="S147" s="2"/>
      <c r="T147" s="2"/>
      <c r="U147" s="2"/>
      <c r="V147" s="2"/>
      <c r="W147" s="2"/>
    </row>
    <row r="148" spans="1:23" x14ac:dyDescent="0.35">
      <c r="A148" s="2" t="s">
        <v>617</v>
      </c>
      <c r="B148" s="2" t="s">
        <v>15</v>
      </c>
      <c r="C148" s="2" t="s">
        <v>9</v>
      </c>
      <c r="D148" s="2" t="s">
        <v>618</v>
      </c>
      <c r="E148" s="2" t="s">
        <v>619</v>
      </c>
      <c r="F148" s="2" t="s">
        <v>620</v>
      </c>
      <c r="G148" s="2" t="s">
        <v>621</v>
      </c>
      <c r="H148" s="2">
        <v>2024</v>
      </c>
      <c r="I148" s="2">
        <v>3.2063986409965999</v>
      </c>
      <c r="J148" s="2"/>
      <c r="K148" s="2">
        <f>IFERROR(VALUE(Table145[[#This Row],[Inflation Annual Pct]])," ")</f>
        <v>3.2063986409965999</v>
      </c>
      <c r="L148" s="2">
        <f>IFERROR(VALUE(Table145[[#This Row],[Cost of Living ]])," ")</f>
        <v>0</v>
      </c>
      <c r="M148" s="2" t="b">
        <f>ISNUMBER(Table145[[#This Row],[Inflation Rate]])</f>
        <v>1</v>
      </c>
      <c r="N148" s="2" t="b">
        <f>ISNUMBER(Table145[[#This Row],[Cost of Living]])</f>
        <v>1</v>
      </c>
      <c r="O148" s="2"/>
      <c r="P148" s="2"/>
      <c r="Q148" s="2"/>
      <c r="R148" s="2"/>
      <c r="S148" s="2"/>
      <c r="T148" s="2"/>
      <c r="U148" s="2"/>
      <c r="V148" s="2"/>
      <c r="W148" s="2"/>
    </row>
    <row r="149" spans="1:23" x14ac:dyDescent="0.35">
      <c r="A149" s="2" t="s">
        <v>622</v>
      </c>
      <c r="B149" s="2" t="s">
        <v>8</v>
      </c>
      <c r="C149" s="2" t="s">
        <v>3</v>
      </c>
      <c r="D149" s="2" t="s">
        <v>623</v>
      </c>
      <c r="E149" s="2" t="s">
        <v>624</v>
      </c>
      <c r="F149" s="2" t="s">
        <v>625</v>
      </c>
      <c r="G149" s="2" t="s">
        <v>626</v>
      </c>
      <c r="H149" s="2">
        <v>2024</v>
      </c>
      <c r="I149" s="2">
        <v>1.6507946928310899</v>
      </c>
      <c r="J149" s="2"/>
      <c r="K149" s="2">
        <f>IFERROR(VALUE(Table145[[#This Row],[Inflation Annual Pct]])," ")</f>
        <v>1.6507946928310899</v>
      </c>
      <c r="L149" s="2">
        <f>IFERROR(VALUE(Table145[[#This Row],[Cost of Living ]])," ")</f>
        <v>0</v>
      </c>
      <c r="M149" s="2" t="b">
        <f>ISNUMBER(Table145[[#This Row],[Inflation Rate]])</f>
        <v>1</v>
      </c>
      <c r="N149" s="2" t="b">
        <f>ISNUMBER(Table145[[#This Row],[Cost of Living]])</f>
        <v>1</v>
      </c>
      <c r="O149" s="2"/>
      <c r="P149" s="2"/>
      <c r="Q149" s="2"/>
      <c r="R149" s="2"/>
      <c r="S149" s="2"/>
      <c r="T149" s="2"/>
      <c r="U149" s="2"/>
      <c r="V149" s="2"/>
      <c r="W149" s="2"/>
    </row>
    <row r="150" spans="1:23" x14ac:dyDescent="0.35">
      <c r="A150" s="2" t="s">
        <v>631</v>
      </c>
      <c r="B150" s="2" t="s">
        <v>22</v>
      </c>
      <c r="C150" s="2" t="s">
        <v>23</v>
      </c>
      <c r="D150" s="2" t="s">
        <v>632</v>
      </c>
      <c r="E150" s="2" t="s">
        <v>633</v>
      </c>
      <c r="F150" s="2" t="s">
        <v>634</v>
      </c>
      <c r="G150" s="2" t="s">
        <v>635</v>
      </c>
      <c r="H150" s="2">
        <v>2024</v>
      </c>
      <c r="I150" s="2">
        <v>3.3367500928228102</v>
      </c>
      <c r="J150" s="2"/>
      <c r="K150" s="2">
        <f>IFERROR(VALUE(Table145[[#This Row],[Inflation Annual Pct]])," ")</f>
        <v>3.3367500928228102</v>
      </c>
      <c r="L150" s="2">
        <f>IFERROR(VALUE(Table145[[#This Row],[Cost of Living ]])," ")</f>
        <v>0</v>
      </c>
      <c r="M150" s="2" t="b">
        <f>ISNUMBER(Table145[[#This Row],[Inflation Rate]])</f>
        <v>1</v>
      </c>
      <c r="N150" s="2" t="b">
        <f>ISNUMBER(Table145[[#This Row],[Cost of Living]])</f>
        <v>1</v>
      </c>
      <c r="O150" s="2"/>
      <c r="P150" s="2"/>
      <c r="Q150" s="2"/>
      <c r="R150" s="2"/>
      <c r="S150" s="2"/>
      <c r="T150" s="2"/>
      <c r="U150" s="2"/>
      <c r="V150" s="2"/>
      <c r="W150" s="2"/>
    </row>
    <row r="151" spans="1:23" x14ac:dyDescent="0.35">
      <c r="A151" s="2" t="s">
        <v>641</v>
      </c>
      <c r="B151" s="2" t="s">
        <v>48</v>
      </c>
      <c r="C151" s="2" t="s">
        <v>3</v>
      </c>
      <c r="D151" s="2" t="s">
        <v>642</v>
      </c>
      <c r="E151" s="2" t="s">
        <v>643</v>
      </c>
      <c r="F151" s="2" t="s">
        <v>644</v>
      </c>
      <c r="G151" s="2"/>
      <c r="H151" s="2"/>
      <c r="I151" s="2"/>
      <c r="J151" s="2"/>
      <c r="K151" s="2">
        <f>IFERROR(VALUE(Table145[[#This Row],[Inflation Annual Pct]])," ")</f>
        <v>0</v>
      </c>
      <c r="L151" s="2">
        <f>IFERROR(VALUE(Table145[[#This Row],[Cost of Living ]])," ")</f>
        <v>0</v>
      </c>
      <c r="M151" s="2" t="b">
        <f>ISNUMBER(Table145[[#This Row],[Inflation Rate]])</f>
        <v>1</v>
      </c>
      <c r="N151" s="2" t="b">
        <f>ISNUMBER(Table145[[#This Row],[Cost of Living]])</f>
        <v>1</v>
      </c>
      <c r="O151" s="2"/>
      <c r="P151" s="2"/>
      <c r="Q151" s="2"/>
      <c r="R151" s="2"/>
      <c r="S151" s="2"/>
      <c r="T151" s="2"/>
      <c r="U151" s="2"/>
      <c r="V151" s="2"/>
      <c r="W151" s="2"/>
    </row>
    <row r="152" spans="1:23" x14ac:dyDescent="0.35">
      <c r="A152" s="2" t="s">
        <v>645</v>
      </c>
      <c r="B152" s="2" t="s">
        <v>15</v>
      </c>
      <c r="C152" s="2" t="s">
        <v>9</v>
      </c>
      <c r="D152" s="2" t="s">
        <v>646</v>
      </c>
      <c r="E152" s="2" t="s">
        <v>647</v>
      </c>
      <c r="F152" s="2" t="s">
        <v>648</v>
      </c>
      <c r="G152" s="2" t="s">
        <v>649</v>
      </c>
      <c r="H152" s="2">
        <v>2024</v>
      </c>
      <c r="I152" s="2">
        <v>4.0785683481202204</v>
      </c>
      <c r="J152" s="2"/>
      <c r="K152" s="2">
        <f>IFERROR(VALUE(Table145[[#This Row],[Inflation Annual Pct]])," ")</f>
        <v>4.0785683481202204</v>
      </c>
      <c r="L152" s="2">
        <f>IFERROR(VALUE(Table145[[#This Row],[Cost of Living ]])," ")</f>
        <v>0</v>
      </c>
      <c r="M152" s="2" t="b">
        <f>ISNUMBER(Table145[[#This Row],[Inflation Rate]])</f>
        <v>1</v>
      </c>
      <c r="N152" s="2" t="b">
        <f>ISNUMBER(Table145[[#This Row],[Cost of Living]])</f>
        <v>1</v>
      </c>
      <c r="O152" s="2"/>
      <c r="P152" s="2"/>
      <c r="Q152" s="2"/>
      <c r="R152" s="2"/>
      <c r="S152" s="2"/>
      <c r="T152" s="2"/>
      <c r="U152" s="2"/>
      <c r="V152" s="2"/>
      <c r="W152" s="2"/>
    </row>
    <row r="153" spans="1:23" x14ac:dyDescent="0.35">
      <c r="A153" s="2" t="s">
        <v>650</v>
      </c>
      <c r="B153" s="2" t="s">
        <v>15</v>
      </c>
      <c r="C153" s="2" t="s">
        <v>16</v>
      </c>
      <c r="D153" s="2" t="s">
        <v>651</v>
      </c>
      <c r="E153" s="2" t="s">
        <v>652</v>
      </c>
      <c r="F153" s="2" t="s">
        <v>653</v>
      </c>
      <c r="G153" s="2" t="s">
        <v>654</v>
      </c>
      <c r="H153" s="2">
        <v>2024</v>
      </c>
      <c r="I153" s="2">
        <v>2.4916434748197198</v>
      </c>
      <c r="J153" s="2"/>
      <c r="K153" s="2">
        <f>IFERROR(VALUE(Table145[[#This Row],[Inflation Annual Pct]])," ")</f>
        <v>2.4916434748197198</v>
      </c>
      <c r="L153" s="2">
        <f>IFERROR(VALUE(Table145[[#This Row],[Cost of Living ]])," ")</f>
        <v>0</v>
      </c>
      <c r="M153" s="2" t="b">
        <f>ISNUMBER(Table145[[#This Row],[Inflation Rate]])</f>
        <v>1</v>
      </c>
      <c r="N153" s="2" t="b">
        <f>ISNUMBER(Table145[[#This Row],[Cost of Living]])</f>
        <v>1</v>
      </c>
      <c r="O153" s="2"/>
      <c r="P153" s="2"/>
      <c r="Q153" s="2"/>
      <c r="R153" s="2"/>
      <c r="S153" s="2"/>
      <c r="T153" s="2"/>
      <c r="U153" s="2"/>
      <c r="V153" s="2"/>
      <c r="W153" s="2"/>
    </row>
    <row r="154" spans="1:23" x14ac:dyDescent="0.35">
      <c r="A154" s="2" t="s">
        <v>655</v>
      </c>
      <c r="B154" s="2" t="s">
        <v>15</v>
      </c>
      <c r="C154" s="2" t="s">
        <v>23</v>
      </c>
      <c r="D154" s="2" t="s">
        <v>656</v>
      </c>
      <c r="E154" s="2" t="s">
        <v>657</v>
      </c>
      <c r="F154" s="2" t="s">
        <v>658</v>
      </c>
      <c r="G154" s="2" t="s">
        <v>659</v>
      </c>
      <c r="H154" s="2">
        <v>2024</v>
      </c>
      <c r="I154" s="2">
        <v>3.6045220384796002</v>
      </c>
      <c r="J154" s="2"/>
      <c r="K154" s="2">
        <f>IFERROR(VALUE(Table145[[#This Row],[Inflation Annual Pct]])," ")</f>
        <v>3.6045220384796002</v>
      </c>
      <c r="L154" s="2">
        <f>IFERROR(VALUE(Table145[[#This Row],[Cost of Living ]])," ")</f>
        <v>0</v>
      </c>
      <c r="M154" s="2" t="b">
        <f>ISNUMBER(Table145[[#This Row],[Inflation Rate]])</f>
        <v>1</v>
      </c>
      <c r="N154" s="2" t="b">
        <f>ISNUMBER(Table145[[#This Row],[Cost of Living]])</f>
        <v>1</v>
      </c>
      <c r="O154" s="2"/>
      <c r="P154" s="2"/>
      <c r="Q154" s="2"/>
      <c r="R154" s="2"/>
      <c r="S154" s="2"/>
      <c r="T154" s="2"/>
      <c r="U154" s="2"/>
      <c r="V154" s="2"/>
      <c r="W154" s="2"/>
    </row>
    <row r="155" spans="1:23" x14ac:dyDescent="0.35">
      <c r="A155" s="2" t="s">
        <v>660</v>
      </c>
      <c r="B155" s="2" t="s">
        <v>15</v>
      </c>
      <c r="C155" s="2" t="s">
        <v>9</v>
      </c>
      <c r="D155" s="2" t="s">
        <v>661</v>
      </c>
      <c r="E155" s="2" t="s">
        <v>662</v>
      </c>
      <c r="F155" s="2" t="s">
        <v>663</v>
      </c>
      <c r="G155" s="2" t="s">
        <v>664</v>
      </c>
      <c r="H155" s="2">
        <v>2024</v>
      </c>
      <c r="I155" s="2">
        <v>32.179650422502498</v>
      </c>
      <c r="J155" s="2"/>
      <c r="K155" s="2">
        <f>IFERROR(VALUE(Table145[[#This Row],[Inflation Annual Pct]])," ")</f>
        <v>32.179650422502498</v>
      </c>
      <c r="L155" s="2">
        <f>IFERROR(VALUE(Table145[[#This Row],[Cost of Living ]])," ")</f>
        <v>0</v>
      </c>
      <c r="M155" s="2" t="b">
        <f>ISNUMBER(Table145[[#This Row],[Inflation Rate]])</f>
        <v>1</v>
      </c>
      <c r="N155" s="2" t="b">
        <f>ISNUMBER(Table145[[#This Row],[Cost of Living]])</f>
        <v>1</v>
      </c>
      <c r="O155" s="2"/>
      <c r="P155" s="2"/>
      <c r="Q155" s="2"/>
      <c r="R155" s="2"/>
      <c r="S155" s="2"/>
      <c r="T155" s="2"/>
      <c r="U155" s="2"/>
      <c r="V155" s="2"/>
      <c r="W155" s="2"/>
    </row>
    <row r="156" spans="1:23" x14ac:dyDescent="0.35">
      <c r="A156" s="2" t="s">
        <v>670</v>
      </c>
      <c r="B156" s="2" t="s">
        <v>15</v>
      </c>
      <c r="C156" s="2" t="s">
        <v>16</v>
      </c>
      <c r="D156" s="2" t="s">
        <v>671</v>
      </c>
      <c r="E156" s="2" t="s">
        <v>672</v>
      </c>
      <c r="F156" s="2" t="s">
        <v>673</v>
      </c>
      <c r="G156" s="2" t="s">
        <v>674</v>
      </c>
      <c r="H156" s="2">
        <v>2024</v>
      </c>
      <c r="I156" s="2">
        <v>4.23903922877036</v>
      </c>
      <c r="J156" s="2"/>
      <c r="K156" s="2">
        <f>IFERROR(VALUE(Table145[[#This Row],[Inflation Annual Pct]])," ")</f>
        <v>4.23903922877036</v>
      </c>
      <c r="L156" s="2">
        <f>IFERROR(VALUE(Table145[[#This Row],[Cost of Living ]])," ")</f>
        <v>0</v>
      </c>
      <c r="M156" s="2" t="b">
        <f>ISNUMBER(Table145[[#This Row],[Inflation Rate]])</f>
        <v>1</v>
      </c>
      <c r="N156" s="2" t="b">
        <f>ISNUMBER(Table145[[#This Row],[Cost of Living]])</f>
        <v>1</v>
      </c>
      <c r="O156" s="2"/>
      <c r="P156" s="2"/>
      <c r="Q156" s="2"/>
      <c r="R156" s="2"/>
      <c r="S156" s="2"/>
      <c r="T156" s="2"/>
      <c r="U156" s="2"/>
      <c r="V156" s="2"/>
      <c r="W156" s="2"/>
    </row>
    <row r="157" spans="1:23" x14ac:dyDescent="0.35">
      <c r="A157" s="2" t="s">
        <v>675</v>
      </c>
      <c r="B157" s="2" t="s">
        <v>48</v>
      </c>
      <c r="C157" s="2" t="s">
        <v>3</v>
      </c>
      <c r="D157" s="2" t="s">
        <v>676</v>
      </c>
      <c r="E157" s="2" t="s">
        <v>677</v>
      </c>
      <c r="F157" s="2" t="s">
        <v>678</v>
      </c>
      <c r="G157" s="2"/>
      <c r="H157" s="2"/>
      <c r="I157" s="2"/>
      <c r="J157" s="2"/>
      <c r="K157" s="2">
        <f>IFERROR(VALUE(Table145[[#This Row],[Inflation Annual Pct]])," ")</f>
        <v>0</v>
      </c>
      <c r="L157" s="2">
        <f>IFERROR(VALUE(Table145[[#This Row],[Cost of Living ]])," ")</f>
        <v>0</v>
      </c>
      <c r="M157" s="2" t="b">
        <f>ISNUMBER(Table145[[#This Row],[Inflation Rate]])</f>
        <v>1</v>
      </c>
      <c r="N157" s="2" t="b">
        <f>ISNUMBER(Table145[[#This Row],[Cost of Living]])</f>
        <v>1</v>
      </c>
      <c r="O157" s="2"/>
      <c r="P157" s="2"/>
      <c r="Q157" s="2"/>
      <c r="R157" s="2"/>
      <c r="S157" s="2"/>
      <c r="T157" s="2"/>
      <c r="U157" s="2"/>
      <c r="V157" s="2"/>
      <c r="W157" s="2"/>
    </row>
    <row r="158" spans="1:23" x14ac:dyDescent="0.35">
      <c r="A158" s="2" t="s">
        <v>679</v>
      </c>
      <c r="B158" s="2" t="s">
        <v>15</v>
      </c>
      <c r="C158" s="2" t="s">
        <v>9</v>
      </c>
      <c r="D158" s="2" t="s">
        <v>680</v>
      </c>
      <c r="E158" s="2" t="s">
        <v>681</v>
      </c>
      <c r="F158" s="2" t="s">
        <v>682</v>
      </c>
      <c r="G158" s="2" t="s">
        <v>683</v>
      </c>
      <c r="H158" s="2">
        <v>2024</v>
      </c>
      <c r="I158" s="2">
        <v>9.07151997725013</v>
      </c>
      <c r="J158" s="2"/>
      <c r="K158" s="2">
        <f>IFERROR(VALUE(Table145[[#This Row],[Inflation Annual Pct]])," ")</f>
        <v>9.07151997725013</v>
      </c>
      <c r="L158" s="2">
        <f>IFERROR(VALUE(Table145[[#This Row],[Cost of Living ]])," ")</f>
        <v>0</v>
      </c>
      <c r="M158" s="2" t="b">
        <f>ISNUMBER(Table145[[#This Row],[Inflation Rate]])</f>
        <v>1</v>
      </c>
      <c r="N158" s="2" t="b">
        <f>ISNUMBER(Table145[[#This Row],[Cost of Living]])</f>
        <v>1</v>
      </c>
      <c r="O158" s="2"/>
      <c r="P158" s="2"/>
      <c r="Q158" s="2"/>
      <c r="R158" s="2"/>
      <c r="S158" s="2"/>
      <c r="T158" s="2"/>
      <c r="U158" s="2"/>
      <c r="V158" s="2"/>
      <c r="W158" s="2"/>
    </row>
    <row r="159" spans="1:23" x14ac:dyDescent="0.35">
      <c r="A159" s="2" t="s">
        <v>689</v>
      </c>
      <c r="B159" s="2" t="s">
        <v>2</v>
      </c>
      <c r="C159" s="2" t="s">
        <v>16</v>
      </c>
      <c r="D159" s="2" t="s">
        <v>690</v>
      </c>
      <c r="E159" s="2" t="s">
        <v>691</v>
      </c>
      <c r="F159" s="2" t="s">
        <v>692</v>
      </c>
      <c r="G159" s="2" t="s">
        <v>693</v>
      </c>
      <c r="H159" s="2">
        <v>2024</v>
      </c>
      <c r="I159" s="2">
        <v>4.6247384105714104</v>
      </c>
      <c r="J159" s="2"/>
      <c r="K159" s="2">
        <f>IFERROR(VALUE(Table145[[#This Row],[Inflation Annual Pct]])," ")</f>
        <v>4.6247384105714104</v>
      </c>
      <c r="L159" s="2">
        <f>IFERROR(VALUE(Table145[[#This Row],[Cost of Living ]])," ")</f>
        <v>0</v>
      </c>
      <c r="M159" s="2" t="b">
        <f>ISNUMBER(Table145[[#This Row],[Inflation Rate]])</f>
        <v>1</v>
      </c>
      <c r="N159" s="2" t="b">
        <f>ISNUMBER(Table145[[#This Row],[Cost of Living]])</f>
        <v>1</v>
      </c>
      <c r="O159" s="2"/>
      <c r="P159" s="2"/>
      <c r="Q159" s="2"/>
      <c r="R159" s="2"/>
      <c r="S159" s="2"/>
      <c r="T159" s="2">
        <v>0.21</v>
      </c>
      <c r="U159" s="2">
        <v>9.02</v>
      </c>
      <c r="V159" s="2"/>
      <c r="W159" s="2"/>
    </row>
    <row r="160" spans="1:23" x14ac:dyDescent="0.35">
      <c r="A160" s="2" t="s">
        <v>694</v>
      </c>
      <c r="B160" s="2" t="s">
        <v>22</v>
      </c>
      <c r="C160" s="2" t="s">
        <v>3</v>
      </c>
      <c r="D160" s="2" t="s">
        <v>695</v>
      </c>
      <c r="E160" s="2" t="s">
        <v>696</v>
      </c>
      <c r="F160" s="2" t="s">
        <v>697</v>
      </c>
      <c r="G160" s="2" t="s">
        <v>698</v>
      </c>
      <c r="H160" s="2">
        <v>2024</v>
      </c>
      <c r="I160" s="2">
        <v>3.34754304219953</v>
      </c>
      <c r="J160" s="2"/>
      <c r="K160" s="2">
        <f>IFERROR(VALUE(Table145[[#This Row],[Inflation Annual Pct]])," ")</f>
        <v>3.34754304219953</v>
      </c>
      <c r="L160" s="2">
        <f>IFERROR(VALUE(Table145[[#This Row],[Cost of Living ]])," ")</f>
        <v>0</v>
      </c>
      <c r="M160" s="2" t="b">
        <f>ISNUMBER(Table145[[#This Row],[Inflation Rate]])</f>
        <v>1</v>
      </c>
      <c r="N160" s="2" t="b">
        <f>ISNUMBER(Table145[[#This Row],[Cost of Living]])</f>
        <v>1</v>
      </c>
      <c r="O160" s="2"/>
      <c r="P160" s="2"/>
      <c r="Q160" s="2"/>
      <c r="R160" s="2"/>
      <c r="S160" s="2"/>
      <c r="T160" s="2">
        <v>5.67</v>
      </c>
      <c r="U160" s="2">
        <v>139.68</v>
      </c>
      <c r="V160" s="2"/>
      <c r="W160" s="2"/>
    </row>
    <row r="161" spans="1:23" x14ac:dyDescent="0.35">
      <c r="A161" s="2" t="s">
        <v>709</v>
      </c>
      <c r="B161" s="2" t="s">
        <v>48</v>
      </c>
      <c r="C161" s="2" t="s">
        <v>3</v>
      </c>
      <c r="D161" s="2" t="s">
        <v>710</v>
      </c>
      <c r="E161" s="2" t="s">
        <v>711</v>
      </c>
      <c r="F161" s="2" t="s">
        <v>712</v>
      </c>
      <c r="G161" s="2"/>
      <c r="H161" s="2"/>
      <c r="I161" s="2"/>
      <c r="J161" s="2"/>
      <c r="K161" s="2">
        <f>IFERROR(VALUE(Table145[[#This Row],[Inflation Annual Pct]])," ")</f>
        <v>0</v>
      </c>
      <c r="L161" s="2">
        <f>IFERROR(VALUE(Table145[[#This Row],[Cost of Living ]])," ")</f>
        <v>0</v>
      </c>
      <c r="M161" s="2" t="b">
        <f>ISNUMBER(Table145[[#This Row],[Inflation Rate]])</f>
        <v>1</v>
      </c>
      <c r="N161" s="2" t="b">
        <f>ISNUMBER(Table145[[#This Row],[Cost of Living]])</f>
        <v>1</v>
      </c>
      <c r="O161" s="2"/>
      <c r="P161" s="2"/>
      <c r="Q161" s="2"/>
      <c r="R161" s="2"/>
      <c r="S161" s="2"/>
      <c r="T161" s="2"/>
      <c r="U161" s="2"/>
      <c r="V161" s="2"/>
      <c r="W161" s="2"/>
    </row>
    <row r="162" spans="1:23" x14ac:dyDescent="0.35">
      <c r="A162" s="2" t="s">
        <v>728</v>
      </c>
      <c r="B162" s="2" t="s">
        <v>2</v>
      </c>
      <c r="C162" s="2" t="s">
        <v>3</v>
      </c>
      <c r="D162" s="2" t="s">
        <v>729</v>
      </c>
      <c r="E162" s="2" t="s">
        <v>730</v>
      </c>
      <c r="F162" s="2" t="s">
        <v>731</v>
      </c>
      <c r="G162" s="2" t="s">
        <v>732</v>
      </c>
      <c r="H162" s="2">
        <v>2024</v>
      </c>
      <c r="I162" s="2">
        <v>0.69322555100446004</v>
      </c>
      <c r="J162" s="2"/>
      <c r="K162" s="2">
        <f>IFERROR(VALUE(Table145[[#This Row],[Inflation Annual Pct]])," ")</f>
        <v>0.69322555100446004</v>
      </c>
      <c r="L162" s="2">
        <f>IFERROR(VALUE(Table145[[#This Row],[Cost of Living ]])," ")</f>
        <v>0</v>
      </c>
      <c r="M162" s="2" t="b">
        <f>ISNUMBER(Table145[[#This Row],[Inflation Rate]])</f>
        <v>1</v>
      </c>
      <c r="N162" s="2" t="b">
        <f>ISNUMBER(Table145[[#This Row],[Cost of Living]])</f>
        <v>1</v>
      </c>
      <c r="O162" s="2"/>
      <c r="P162" s="2"/>
      <c r="Q162" s="2"/>
      <c r="R162" s="2"/>
      <c r="S162" s="2"/>
      <c r="T162" s="2"/>
      <c r="U162" s="2"/>
      <c r="V162" s="2"/>
      <c r="W162" s="2"/>
    </row>
    <row r="163" spans="1:23" x14ac:dyDescent="0.35">
      <c r="A163" s="2" t="s">
        <v>733</v>
      </c>
      <c r="B163" s="2" t="s">
        <v>2</v>
      </c>
      <c r="C163" s="2" t="s">
        <v>23</v>
      </c>
      <c r="D163" s="2" t="s">
        <v>734</v>
      </c>
      <c r="E163" s="2" t="s">
        <v>735</v>
      </c>
      <c r="F163" s="2" t="s">
        <v>736</v>
      </c>
      <c r="G163" s="2" t="s">
        <v>737</v>
      </c>
      <c r="H163" s="2">
        <v>2024</v>
      </c>
      <c r="I163" s="2">
        <v>2.0077073941271202</v>
      </c>
      <c r="J163" s="2"/>
      <c r="K163" s="2">
        <f>IFERROR(VALUE(Table145[[#This Row],[Inflation Annual Pct]])," ")</f>
        <v>2.0077073941271202</v>
      </c>
      <c r="L163" s="2">
        <f>IFERROR(VALUE(Table145[[#This Row],[Cost of Living ]])," ")</f>
        <v>0</v>
      </c>
      <c r="M163" s="2" t="b">
        <f>ISNUMBER(Table145[[#This Row],[Inflation Rate]])</f>
        <v>1</v>
      </c>
      <c r="N163" s="2" t="b">
        <f>ISNUMBER(Table145[[#This Row],[Cost of Living]])</f>
        <v>1</v>
      </c>
      <c r="O163" s="2"/>
      <c r="P163" s="2"/>
      <c r="Q163" s="2"/>
      <c r="R163" s="2"/>
      <c r="S163" s="2"/>
      <c r="T163" s="2"/>
      <c r="U163" s="2"/>
      <c r="V163" s="2"/>
      <c r="W163" s="2"/>
    </row>
    <row r="164" spans="1:23" x14ac:dyDescent="0.35">
      <c r="A164" s="2" t="s">
        <v>743</v>
      </c>
      <c r="B164" s="2" t="s">
        <v>48</v>
      </c>
      <c r="C164" s="2" t="s">
        <v>3</v>
      </c>
      <c r="D164" s="2" t="s">
        <v>744</v>
      </c>
      <c r="E164" s="2" t="s">
        <v>745</v>
      </c>
      <c r="F164" s="2" t="s">
        <v>746</v>
      </c>
      <c r="G164" s="2" t="s">
        <v>747</v>
      </c>
      <c r="H164" s="2">
        <v>2024</v>
      </c>
      <c r="I164" s="2">
        <v>2.2317277292170399</v>
      </c>
      <c r="J164" s="2"/>
      <c r="K164" s="2">
        <f>IFERROR(VALUE(Table145[[#This Row],[Inflation Annual Pct]])," ")</f>
        <v>2.2317277292170399</v>
      </c>
      <c r="L164" s="2">
        <f>IFERROR(VALUE(Table145[[#This Row],[Cost of Living ]])," ")</f>
        <v>0</v>
      </c>
      <c r="M164" s="2" t="b">
        <f>ISNUMBER(Table145[[#This Row],[Inflation Rate]])</f>
        <v>1</v>
      </c>
      <c r="N164" s="2" t="b">
        <f>ISNUMBER(Table145[[#This Row],[Cost of Living]])</f>
        <v>1</v>
      </c>
      <c r="O164" s="2"/>
      <c r="P164" s="2"/>
      <c r="Q164" s="2"/>
      <c r="R164" s="2"/>
      <c r="S164" s="2"/>
      <c r="T164" s="2"/>
      <c r="U164" s="2"/>
      <c r="V164" s="2"/>
      <c r="W164" s="2"/>
    </row>
    <row r="165" spans="1:23" x14ac:dyDescent="0.35">
      <c r="A165" s="2" t="s">
        <v>748</v>
      </c>
      <c r="B165" s="2" t="s">
        <v>48</v>
      </c>
      <c r="C165" s="2" t="s">
        <v>16</v>
      </c>
      <c r="D165" s="2" t="s">
        <v>749</v>
      </c>
      <c r="E165" s="2" t="s">
        <v>750</v>
      </c>
      <c r="F165" s="2" t="s">
        <v>751</v>
      </c>
      <c r="G165" s="2" t="s">
        <v>752</v>
      </c>
      <c r="H165" s="2">
        <v>2024</v>
      </c>
      <c r="I165" s="2">
        <v>0.60240392110791696</v>
      </c>
      <c r="J165" s="2"/>
      <c r="K165" s="2">
        <f>IFERROR(VALUE(Table145[[#This Row],[Inflation Annual Pct]])," ")</f>
        <v>0.60240392110791696</v>
      </c>
      <c r="L165" s="2">
        <f>IFERROR(VALUE(Table145[[#This Row],[Cost of Living ]])," ")</f>
        <v>0</v>
      </c>
      <c r="M165" s="2" t="b">
        <f>ISNUMBER(Table145[[#This Row],[Inflation Rate]])</f>
        <v>1</v>
      </c>
      <c r="N165" s="2" t="b">
        <f>ISNUMBER(Table145[[#This Row],[Cost of Living]])</f>
        <v>1</v>
      </c>
      <c r="O165" s="2"/>
      <c r="P165" s="2"/>
      <c r="Q165" s="2"/>
      <c r="R165" s="2"/>
      <c r="S165" s="2"/>
      <c r="T165" s="2"/>
      <c r="U165" s="2"/>
      <c r="V165" s="2"/>
      <c r="W165" s="2"/>
    </row>
    <row r="166" spans="1:23" x14ac:dyDescent="0.35">
      <c r="A166" s="2" t="s">
        <v>758</v>
      </c>
      <c r="B166" s="2" t="s">
        <v>2</v>
      </c>
      <c r="C166" s="2" t="s">
        <v>3</v>
      </c>
      <c r="D166" s="2" t="s">
        <v>759</v>
      </c>
      <c r="E166" s="2" t="s">
        <v>760</v>
      </c>
      <c r="F166" s="2" t="s">
        <v>761</v>
      </c>
      <c r="G166" s="2"/>
      <c r="H166" s="2"/>
      <c r="I166" s="2"/>
      <c r="J166" s="2"/>
      <c r="K166" s="2">
        <f>IFERROR(VALUE(Table145[[#This Row],[Inflation Annual Pct]])," ")</f>
        <v>0</v>
      </c>
      <c r="L166" s="2">
        <f>IFERROR(VALUE(Table145[[#This Row],[Cost of Living ]])," ")</f>
        <v>0</v>
      </c>
      <c r="M166" s="2" t="b">
        <f>ISNUMBER(Table145[[#This Row],[Inflation Rate]])</f>
        <v>1</v>
      </c>
      <c r="N166" s="2" t="b">
        <f>ISNUMBER(Table145[[#This Row],[Cost of Living]])</f>
        <v>1</v>
      </c>
      <c r="O166" s="2"/>
      <c r="P166" s="2"/>
      <c r="Q166" s="2"/>
      <c r="R166" s="2"/>
      <c r="S166" s="2"/>
      <c r="T166" s="2"/>
      <c r="U166" s="2"/>
      <c r="V166" s="2"/>
      <c r="W166" s="2"/>
    </row>
    <row r="167" spans="1:23" x14ac:dyDescent="0.35">
      <c r="A167" s="2" t="s">
        <v>762</v>
      </c>
      <c r="B167" s="2" t="s">
        <v>48</v>
      </c>
      <c r="C167" s="2" t="s">
        <v>9</v>
      </c>
      <c r="D167" s="2" t="s">
        <v>763</v>
      </c>
      <c r="E167" s="2" t="s">
        <v>764</v>
      </c>
      <c r="F167" s="2" t="s">
        <v>765</v>
      </c>
      <c r="G167" s="2"/>
      <c r="H167" s="2"/>
      <c r="I167" s="2"/>
      <c r="J167" s="2"/>
      <c r="K167" s="2">
        <f>IFERROR(VALUE(Table145[[#This Row],[Inflation Annual Pct]])," ")</f>
        <v>0</v>
      </c>
      <c r="L167" s="2">
        <f>IFERROR(VALUE(Table145[[#This Row],[Cost of Living ]])," ")</f>
        <v>0</v>
      </c>
      <c r="M167" s="2" t="b">
        <f>ISNUMBER(Table145[[#This Row],[Inflation Rate]])</f>
        <v>1</v>
      </c>
      <c r="N167" s="2" t="b">
        <f>ISNUMBER(Table145[[#This Row],[Cost of Living]])</f>
        <v>1</v>
      </c>
      <c r="O167" s="2"/>
      <c r="P167" s="2"/>
      <c r="Q167" s="2"/>
      <c r="R167" s="2"/>
      <c r="S167" s="2"/>
      <c r="T167" s="2"/>
      <c r="U167" s="2"/>
      <c r="V167" s="2"/>
      <c r="W167" s="2"/>
    </row>
    <row r="168" spans="1:23" x14ac:dyDescent="0.35">
      <c r="A168" s="2" t="s">
        <v>771</v>
      </c>
      <c r="B168" s="2" t="s">
        <v>2</v>
      </c>
      <c r="C168" s="2" t="s">
        <v>23</v>
      </c>
      <c r="D168" s="2" t="s">
        <v>772</v>
      </c>
      <c r="E168" s="2" t="s">
        <v>773</v>
      </c>
      <c r="F168" s="2" t="s">
        <v>774</v>
      </c>
      <c r="G168" s="2" t="s">
        <v>775</v>
      </c>
      <c r="H168" s="2">
        <v>2024</v>
      </c>
      <c r="I168" s="2">
        <v>3.83540271728533</v>
      </c>
      <c r="J168" s="2"/>
      <c r="K168" s="2">
        <f>IFERROR(VALUE(Table145[[#This Row],[Inflation Annual Pct]])," ")</f>
        <v>3.83540271728533</v>
      </c>
      <c r="L168" s="2">
        <f>IFERROR(VALUE(Table145[[#This Row],[Cost of Living ]])," ")</f>
        <v>0</v>
      </c>
      <c r="M168" s="2" t="b">
        <f>ISNUMBER(Table145[[#This Row],[Inflation Rate]])</f>
        <v>1</v>
      </c>
      <c r="N168" s="2" t="b">
        <f>ISNUMBER(Table145[[#This Row],[Cost of Living]])</f>
        <v>1</v>
      </c>
      <c r="O168" s="2"/>
      <c r="P168" s="2"/>
      <c r="Q168" s="2"/>
      <c r="R168" s="2"/>
      <c r="S168" s="2"/>
      <c r="T168" s="2"/>
      <c r="U168" s="2"/>
      <c r="V168" s="2"/>
      <c r="W168" s="2"/>
    </row>
    <row r="169" spans="1:23" x14ac:dyDescent="0.35">
      <c r="A169" s="2" t="s">
        <v>776</v>
      </c>
      <c r="B169" s="2" t="s">
        <v>8</v>
      </c>
      <c r="C169" s="2" t="s">
        <v>16</v>
      </c>
      <c r="D169" s="2"/>
      <c r="E169" s="2"/>
      <c r="F169" s="2"/>
      <c r="G169" s="2" t="s">
        <v>777</v>
      </c>
      <c r="H169" s="2">
        <v>2024</v>
      </c>
      <c r="I169" s="2">
        <v>53.669145830378199</v>
      </c>
      <c r="J169" s="2"/>
      <c r="K169" s="2">
        <f>IFERROR(VALUE(Table145[[#This Row],[Inflation Annual Pct]])," ")</f>
        <v>53.669145830378199</v>
      </c>
      <c r="L169" s="2">
        <f>IFERROR(VALUE(Table145[[#This Row],[Cost of Living ]])," ")</f>
        <v>0</v>
      </c>
      <c r="M169" s="2" t="b">
        <f>ISNUMBER(Table145[[#This Row],[Inflation Rate]])</f>
        <v>1</v>
      </c>
      <c r="N169" s="2" t="b">
        <f>ISNUMBER(Table145[[#This Row],[Cost of Living]])</f>
        <v>1</v>
      </c>
      <c r="O169" s="2"/>
      <c r="P169" s="2"/>
      <c r="Q169" s="2"/>
      <c r="R169" s="2"/>
      <c r="S169" s="2"/>
      <c r="T169" s="2"/>
      <c r="U169" s="2"/>
      <c r="V169" s="2"/>
      <c r="W169" s="2"/>
    </row>
    <row r="170" spans="1:23" x14ac:dyDescent="0.35">
      <c r="A170" s="2" t="s">
        <v>778</v>
      </c>
      <c r="B170" s="2" t="s">
        <v>48</v>
      </c>
      <c r="C170" s="2" t="s">
        <v>3</v>
      </c>
      <c r="D170" s="2" t="s">
        <v>779</v>
      </c>
      <c r="E170" s="2" t="s">
        <v>780</v>
      </c>
      <c r="F170" s="2" t="s">
        <v>781</v>
      </c>
      <c r="G170" s="2"/>
      <c r="H170" s="2"/>
      <c r="I170" s="2"/>
      <c r="J170" s="2"/>
      <c r="K170" s="2">
        <f>IFERROR(VALUE(Table145[[#This Row],[Inflation Annual Pct]])," ")</f>
        <v>0</v>
      </c>
      <c r="L170" s="2">
        <f>IFERROR(VALUE(Table145[[#This Row],[Cost of Living ]])," ")</f>
        <v>0</v>
      </c>
      <c r="M170" s="2" t="b">
        <f>ISNUMBER(Table145[[#This Row],[Inflation Rate]])</f>
        <v>1</v>
      </c>
      <c r="N170" s="2" t="b">
        <f>ISNUMBER(Table145[[#This Row],[Cost of Living]])</f>
        <v>1</v>
      </c>
      <c r="O170" s="2"/>
      <c r="P170" s="2"/>
      <c r="Q170" s="2"/>
      <c r="R170" s="2"/>
      <c r="S170" s="2"/>
      <c r="T170" s="2"/>
      <c r="U170" s="2"/>
      <c r="V170" s="2"/>
      <c r="W170" s="2"/>
    </row>
    <row r="171" spans="1:23" x14ac:dyDescent="0.35">
      <c r="A171" s="2" t="s">
        <v>787</v>
      </c>
      <c r="B171" s="2" t="s">
        <v>22</v>
      </c>
      <c r="C171" s="2" t="s">
        <v>3</v>
      </c>
      <c r="D171" s="2" t="s">
        <v>788</v>
      </c>
      <c r="E171" s="2" t="s">
        <v>789</v>
      </c>
      <c r="F171" s="2" t="s">
        <v>790</v>
      </c>
      <c r="G171" s="2" t="s">
        <v>791</v>
      </c>
      <c r="H171" s="2">
        <v>2024</v>
      </c>
      <c r="I171" s="2">
        <v>5.7214057435443904</v>
      </c>
      <c r="J171" s="2"/>
      <c r="K171" s="2">
        <f>IFERROR(VALUE(Table145[[#This Row],[Inflation Annual Pct]])," ")</f>
        <v>5.7214057435443904</v>
      </c>
      <c r="L171" s="2">
        <f>IFERROR(VALUE(Table145[[#This Row],[Cost of Living ]])," ")</f>
        <v>0</v>
      </c>
      <c r="M171" s="2" t="b">
        <f>ISNUMBER(Table145[[#This Row],[Inflation Rate]])</f>
        <v>1</v>
      </c>
      <c r="N171" s="2" t="b">
        <f>ISNUMBER(Table145[[#This Row],[Cost of Living]])</f>
        <v>1</v>
      </c>
      <c r="O171" s="2"/>
      <c r="P171" s="2"/>
      <c r="Q171" s="2"/>
      <c r="R171" s="2"/>
      <c r="S171" s="2"/>
      <c r="T171" s="2"/>
      <c r="U171" s="2"/>
      <c r="V171" s="2"/>
      <c r="W171" s="2"/>
    </row>
    <row r="172" spans="1:23" x14ac:dyDescent="0.35">
      <c r="A172" s="2" t="s">
        <v>792</v>
      </c>
      <c r="B172" s="2" t="s">
        <v>22</v>
      </c>
      <c r="C172" s="2" t="s">
        <v>3</v>
      </c>
      <c r="D172" s="2" t="s">
        <v>793</v>
      </c>
      <c r="E172" s="2" t="s">
        <v>794</v>
      </c>
      <c r="F172" s="2" t="s">
        <v>795</v>
      </c>
      <c r="G172" s="2" t="s">
        <v>796</v>
      </c>
      <c r="H172" s="2">
        <v>2024</v>
      </c>
      <c r="I172" s="2">
        <v>8.4348641049672306</v>
      </c>
      <c r="J172" s="2"/>
      <c r="K172" s="2">
        <f>IFERROR(VALUE(Table145[[#This Row],[Inflation Annual Pct]])," ")</f>
        <v>8.4348641049672306</v>
      </c>
      <c r="L172" s="2">
        <f>IFERROR(VALUE(Table145[[#This Row],[Cost of Living ]])," ")</f>
        <v>0</v>
      </c>
      <c r="M172" s="2" t="b">
        <f>ISNUMBER(Table145[[#This Row],[Inflation Rate]])</f>
        <v>1</v>
      </c>
      <c r="N172" s="2" t="b">
        <f>ISNUMBER(Table145[[#This Row],[Cost of Living]])</f>
        <v>1</v>
      </c>
      <c r="O172" s="2"/>
      <c r="P172" s="2"/>
      <c r="Q172" s="2"/>
      <c r="R172" s="2"/>
      <c r="S172" s="2"/>
      <c r="T172" s="2"/>
      <c r="U172" s="2"/>
      <c r="V172" s="2"/>
      <c r="W172" s="2"/>
    </row>
    <row r="173" spans="1:23" x14ac:dyDescent="0.35">
      <c r="A173" s="2" t="s">
        <v>797</v>
      </c>
      <c r="B173" s="2" t="s">
        <v>15</v>
      </c>
      <c r="C173" s="2" t="s">
        <v>9</v>
      </c>
      <c r="D173" s="2" t="s">
        <v>798</v>
      </c>
      <c r="E173" s="2" t="s">
        <v>799</v>
      </c>
      <c r="F173" s="2" t="s">
        <v>800</v>
      </c>
      <c r="G173" s="2" t="s">
        <v>801</v>
      </c>
      <c r="H173" s="2">
        <v>2024</v>
      </c>
      <c r="I173" s="2">
        <v>1.77029240198635</v>
      </c>
      <c r="J173" s="2"/>
      <c r="K173" s="2">
        <f>IFERROR(VALUE(Table145[[#This Row],[Inflation Annual Pct]])," ")</f>
        <v>1.77029240198635</v>
      </c>
      <c r="L173" s="2">
        <f>IFERROR(VALUE(Table145[[#This Row],[Cost of Living ]])," ")</f>
        <v>0</v>
      </c>
      <c r="M173" s="2" t="b">
        <f>ISNUMBER(Table145[[#This Row],[Inflation Rate]])</f>
        <v>1</v>
      </c>
      <c r="N173" s="2" t="b">
        <f>ISNUMBER(Table145[[#This Row],[Cost of Living]])</f>
        <v>1</v>
      </c>
      <c r="O173" s="2"/>
      <c r="P173" s="2"/>
      <c r="Q173" s="2"/>
      <c r="R173" s="2"/>
      <c r="S173" s="2"/>
      <c r="T173" s="2"/>
      <c r="U173" s="2"/>
      <c r="V173" s="2"/>
      <c r="W173" s="2"/>
    </row>
    <row r="174" spans="1:23" x14ac:dyDescent="0.35">
      <c r="A174" s="2" t="s">
        <v>807</v>
      </c>
      <c r="B174" s="2" t="s">
        <v>15</v>
      </c>
      <c r="C174" s="2" t="s">
        <v>9</v>
      </c>
      <c r="D174" s="2" t="s">
        <v>808</v>
      </c>
      <c r="E174" s="2" t="s">
        <v>809</v>
      </c>
      <c r="F174" s="2" t="s">
        <v>810</v>
      </c>
      <c r="G174" s="2" t="s">
        <v>811</v>
      </c>
      <c r="H174" s="2">
        <v>2022</v>
      </c>
      <c r="I174" s="2">
        <v>138.80846024176</v>
      </c>
      <c r="J174" s="2"/>
      <c r="K174" s="2">
        <f>IFERROR(VALUE(Table145[[#This Row],[Inflation Annual Pct]])," ")</f>
        <v>138.80846024176</v>
      </c>
      <c r="L174" s="2">
        <f>IFERROR(VALUE(Table145[[#This Row],[Cost of Living ]])," ")</f>
        <v>0</v>
      </c>
      <c r="M174" s="2" t="b">
        <f>ISNUMBER(Table145[[#This Row],[Inflation Rate]])</f>
        <v>1</v>
      </c>
      <c r="N174" s="2" t="b">
        <f>ISNUMBER(Table145[[#This Row],[Cost of Living]])</f>
        <v>1</v>
      </c>
      <c r="O174" s="2"/>
      <c r="P174" s="2"/>
      <c r="Q174" s="2"/>
      <c r="R174" s="2"/>
      <c r="S174" s="2"/>
      <c r="T174" s="2"/>
      <c r="U174" s="2"/>
      <c r="V174" s="2"/>
      <c r="W174" s="2"/>
    </row>
    <row r="175" spans="1:23" x14ac:dyDescent="0.35">
      <c r="A175" s="2" t="s">
        <v>812</v>
      </c>
      <c r="B175" s="2" t="s">
        <v>15</v>
      </c>
      <c r="C175" s="2" t="s">
        <v>16</v>
      </c>
      <c r="D175" s="2" t="s">
        <v>813</v>
      </c>
      <c r="E175" s="2" t="s">
        <v>814</v>
      </c>
      <c r="F175" s="2" t="s">
        <v>815</v>
      </c>
      <c r="G175" s="2" t="s">
        <v>816</v>
      </c>
      <c r="H175" s="2">
        <v>2024</v>
      </c>
      <c r="I175" s="2">
        <v>0.80450329879243798</v>
      </c>
      <c r="J175" s="2"/>
      <c r="K175" s="2">
        <f>IFERROR(VALUE(Table145[[#This Row],[Inflation Annual Pct]])," ")</f>
        <v>0.80450329879243798</v>
      </c>
      <c r="L175" s="2">
        <f>IFERROR(VALUE(Table145[[#This Row],[Cost of Living ]])," ")</f>
        <v>0</v>
      </c>
      <c r="M175" s="2" t="b">
        <f>ISNUMBER(Table145[[#This Row],[Inflation Rate]])</f>
        <v>1</v>
      </c>
      <c r="N175" s="2" t="b">
        <f>ISNUMBER(Table145[[#This Row],[Cost of Living]])</f>
        <v>1</v>
      </c>
      <c r="O175" s="2"/>
      <c r="P175" s="2"/>
      <c r="Q175" s="2"/>
      <c r="R175" s="2"/>
      <c r="S175" s="2"/>
      <c r="T175" s="2"/>
      <c r="U175" s="2"/>
      <c r="V175" s="2"/>
      <c r="W175" s="2"/>
    </row>
    <row r="176" spans="1:23" x14ac:dyDescent="0.35">
      <c r="A176" s="2" t="s">
        <v>821</v>
      </c>
      <c r="B176" s="2" t="s">
        <v>48</v>
      </c>
      <c r="C176" s="2" t="s">
        <v>16</v>
      </c>
      <c r="D176" s="2" t="s">
        <v>822</v>
      </c>
      <c r="E176" s="2" t="s">
        <v>823</v>
      </c>
      <c r="F176" s="2" t="s">
        <v>824</v>
      </c>
      <c r="G176" s="2" t="s">
        <v>825</v>
      </c>
      <c r="H176" s="2">
        <v>2024</v>
      </c>
      <c r="I176" s="2">
        <v>4.3218394838803302</v>
      </c>
      <c r="J176" s="2"/>
      <c r="K176" s="2">
        <f>IFERROR(VALUE(Table145[[#This Row],[Inflation Annual Pct]])," ")</f>
        <v>4.3218394838803302</v>
      </c>
      <c r="L176" s="2">
        <f>IFERROR(VALUE(Table145[[#This Row],[Cost of Living ]])," ")</f>
        <v>0</v>
      </c>
      <c r="M176" s="2" t="b">
        <f>ISNUMBER(Table145[[#This Row],[Inflation Rate]])</f>
        <v>1</v>
      </c>
      <c r="N176" s="2" t="b">
        <f>ISNUMBER(Table145[[#This Row],[Cost of Living]])</f>
        <v>1</v>
      </c>
      <c r="O176" s="2"/>
      <c r="P176" s="2"/>
      <c r="Q176" s="2"/>
      <c r="R176" s="2"/>
      <c r="S176" s="2"/>
      <c r="T176" s="2"/>
      <c r="U176" s="2"/>
      <c r="V176" s="2"/>
      <c r="W176" s="2"/>
    </row>
    <row r="177" spans="1:23" x14ac:dyDescent="0.35">
      <c r="A177" s="2" t="s">
        <v>826</v>
      </c>
      <c r="B177" s="2" t="s">
        <v>15</v>
      </c>
      <c r="C177" s="2" t="s">
        <v>9</v>
      </c>
      <c r="D177" s="2" t="s">
        <v>827</v>
      </c>
      <c r="E177" s="2" t="s">
        <v>828</v>
      </c>
      <c r="F177" s="2" t="s">
        <v>829</v>
      </c>
      <c r="G177" s="2" t="s">
        <v>830</v>
      </c>
      <c r="H177" s="2">
        <v>2024</v>
      </c>
      <c r="I177" s="2">
        <v>28.633750001411499</v>
      </c>
      <c r="J177" s="2"/>
      <c r="K177" s="2">
        <f>IFERROR(VALUE(Table145[[#This Row],[Inflation Annual Pct]])," ")</f>
        <v>28.633750001411499</v>
      </c>
      <c r="L177" s="2">
        <f>IFERROR(VALUE(Table145[[#This Row],[Cost of Living ]])," ")</f>
        <v>0</v>
      </c>
      <c r="M177" s="2" t="b">
        <f>ISNUMBER(Table145[[#This Row],[Inflation Rate]])</f>
        <v>1</v>
      </c>
      <c r="N177" s="2" t="b">
        <f>ISNUMBER(Table145[[#This Row],[Cost of Living]])</f>
        <v>1</v>
      </c>
      <c r="O177" s="2"/>
      <c r="P177" s="2"/>
      <c r="Q177" s="2"/>
      <c r="R177" s="2"/>
      <c r="S177" s="2"/>
      <c r="T177" s="2"/>
      <c r="U177" s="2"/>
      <c r="V177" s="2"/>
      <c r="W177" s="2"/>
    </row>
    <row r="178" spans="1:23" x14ac:dyDescent="0.35">
      <c r="A178" s="2" t="s">
        <v>831</v>
      </c>
      <c r="B178" s="2" t="s">
        <v>2</v>
      </c>
      <c r="C178" s="2" t="s">
        <v>23</v>
      </c>
      <c r="D178" s="2" t="s">
        <v>832</v>
      </c>
      <c r="E178" s="2" t="s">
        <v>833</v>
      </c>
      <c r="F178" s="2" t="s">
        <v>834</v>
      </c>
      <c r="G178" s="2" t="s">
        <v>835</v>
      </c>
      <c r="H178" s="2">
        <v>2024</v>
      </c>
      <c r="I178" s="2">
        <v>0.85378229256728799</v>
      </c>
      <c r="J178" s="2"/>
      <c r="K178" s="2">
        <f>IFERROR(VALUE(Table145[[#This Row],[Inflation Annual Pct]])," ")</f>
        <v>0.85378229256728799</v>
      </c>
      <c r="L178" s="2">
        <f>IFERROR(VALUE(Table145[[#This Row],[Cost of Living ]])," ")</f>
        <v>0</v>
      </c>
      <c r="M178" s="2" t="b">
        <f>ISNUMBER(Table145[[#This Row],[Inflation Rate]])</f>
        <v>1</v>
      </c>
      <c r="N178" s="2" t="b">
        <f>ISNUMBER(Table145[[#This Row],[Cost of Living]])</f>
        <v>1</v>
      </c>
      <c r="O178" s="2"/>
      <c r="P178" s="2"/>
      <c r="Q178" s="2"/>
      <c r="R178" s="2"/>
      <c r="S178" s="2"/>
      <c r="T178" s="2"/>
      <c r="U178" s="2"/>
      <c r="V178" s="2"/>
      <c r="W178" s="2"/>
    </row>
    <row r="179" spans="1:23" x14ac:dyDescent="0.35">
      <c r="A179" s="2" t="s">
        <v>836</v>
      </c>
      <c r="B179" s="2" t="s">
        <v>22</v>
      </c>
      <c r="C179" s="2" t="s">
        <v>3</v>
      </c>
      <c r="D179" s="2" t="s">
        <v>836</v>
      </c>
      <c r="E179" s="2" t="s">
        <v>837</v>
      </c>
      <c r="F179" s="2" t="s">
        <v>838</v>
      </c>
      <c r="G179" s="2" t="s">
        <v>839</v>
      </c>
      <c r="H179" s="2">
        <v>2024</v>
      </c>
      <c r="I179" s="2">
        <v>1.24216507945569</v>
      </c>
      <c r="J179" s="2"/>
      <c r="K179" s="2">
        <f>IFERROR(VALUE(Table145[[#This Row],[Inflation Annual Pct]])," ")</f>
        <v>1.24216507945569</v>
      </c>
      <c r="L179" s="2">
        <f>IFERROR(VALUE(Table145[[#This Row],[Cost of Living ]])," ")</f>
        <v>0</v>
      </c>
      <c r="M179" s="2" t="b">
        <f>ISNUMBER(Table145[[#This Row],[Inflation Rate]])</f>
        <v>1</v>
      </c>
      <c r="N179" s="2" t="b">
        <f>ISNUMBER(Table145[[#This Row],[Cost of Living]])</f>
        <v>1</v>
      </c>
      <c r="O179" s="2"/>
      <c r="P179" s="2"/>
      <c r="Q179" s="2"/>
      <c r="R179" s="2"/>
      <c r="S179" s="2"/>
      <c r="T179" s="2"/>
      <c r="U179" s="2"/>
      <c r="V179" s="2"/>
      <c r="W179" s="2"/>
    </row>
    <row r="180" spans="1:23" x14ac:dyDescent="0.35">
      <c r="A180" s="2" t="s">
        <v>840</v>
      </c>
      <c r="B180" s="2" t="s">
        <v>15</v>
      </c>
      <c r="C180" s="2" t="s">
        <v>9</v>
      </c>
      <c r="D180" s="2" t="s">
        <v>841</v>
      </c>
      <c r="E180" s="2" t="s">
        <v>842</v>
      </c>
      <c r="F180" s="2" t="s">
        <v>843</v>
      </c>
      <c r="G180" s="2"/>
      <c r="H180" s="2"/>
      <c r="I180" s="2"/>
      <c r="J180" s="2"/>
      <c r="K180" s="2">
        <f>IFERROR(VALUE(Table145[[#This Row],[Inflation Annual Pct]])," ")</f>
        <v>0</v>
      </c>
      <c r="L180" s="2">
        <f>IFERROR(VALUE(Table145[[#This Row],[Cost of Living ]])," ")</f>
        <v>0</v>
      </c>
      <c r="M180" s="2" t="b">
        <f>ISNUMBER(Table145[[#This Row],[Inflation Rate]])</f>
        <v>1</v>
      </c>
      <c r="N180" s="2" t="b">
        <f>ISNUMBER(Table145[[#This Row],[Cost of Living]])</f>
        <v>1</v>
      </c>
      <c r="O180" s="2"/>
      <c r="P180" s="2"/>
      <c r="Q180" s="2"/>
      <c r="R180" s="2"/>
      <c r="S180" s="2"/>
      <c r="T180" s="2"/>
      <c r="U180" s="2"/>
      <c r="V180" s="2"/>
      <c r="W180" s="2"/>
    </row>
    <row r="181" spans="1:23" x14ac:dyDescent="0.35">
      <c r="A181" s="2" t="s">
        <v>844</v>
      </c>
      <c r="B181" s="2" t="s">
        <v>22</v>
      </c>
      <c r="C181" s="2" t="s">
        <v>23</v>
      </c>
      <c r="D181" s="2" t="s">
        <v>845</v>
      </c>
      <c r="E181" s="2" t="s">
        <v>846</v>
      </c>
      <c r="F181" s="2" t="s">
        <v>847</v>
      </c>
      <c r="G181" s="2" t="s">
        <v>848</v>
      </c>
      <c r="H181" s="2">
        <v>2024</v>
      </c>
      <c r="I181" s="2">
        <v>4.6705297488996997</v>
      </c>
      <c r="J181" s="2"/>
      <c r="K181" s="2">
        <f>IFERROR(VALUE(Table145[[#This Row],[Inflation Annual Pct]])," ")</f>
        <v>4.6705297488996997</v>
      </c>
      <c r="L181" s="2">
        <f>IFERROR(VALUE(Table145[[#This Row],[Cost of Living ]])," ")</f>
        <v>0</v>
      </c>
      <c r="M181" s="2" t="b">
        <f>ISNUMBER(Table145[[#This Row],[Inflation Rate]])</f>
        <v>1</v>
      </c>
      <c r="N181" s="2" t="b">
        <f>ISNUMBER(Table145[[#This Row],[Cost of Living]])</f>
        <v>1</v>
      </c>
      <c r="O181" s="2"/>
      <c r="P181" s="2"/>
      <c r="Q181" s="2"/>
      <c r="R181" s="2"/>
      <c r="S181" s="2"/>
      <c r="T181" s="2"/>
      <c r="U181" s="2"/>
      <c r="V181" s="2"/>
      <c r="W181" s="2"/>
    </row>
    <row r="182" spans="1:23" x14ac:dyDescent="0.35">
      <c r="A182" s="2" t="s">
        <v>849</v>
      </c>
      <c r="B182" s="2" t="s">
        <v>15</v>
      </c>
      <c r="C182" s="2" t="s">
        <v>9</v>
      </c>
      <c r="D182" s="2" t="s">
        <v>850</v>
      </c>
      <c r="E182" s="2" t="s">
        <v>851</v>
      </c>
      <c r="F182" s="2" t="s">
        <v>852</v>
      </c>
      <c r="G182" s="2" t="s">
        <v>853</v>
      </c>
      <c r="H182" s="2">
        <v>2024</v>
      </c>
      <c r="I182" s="2">
        <v>91.440822076904595</v>
      </c>
      <c r="J182" s="2"/>
      <c r="K182" s="2">
        <f>IFERROR(VALUE(Table145[[#This Row],[Inflation Annual Pct]])," ")</f>
        <v>91.440822076904595</v>
      </c>
      <c r="L182" s="2">
        <f>IFERROR(VALUE(Table145[[#This Row],[Cost of Living ]])," ")</f>
        <v>0</v>
      </c>
      <c r="M182" s="2" t="b">
        <f>ISNUMBER(Table145[[#This Row],[Inflation Rate]])</f>
        <v>1</v>
      </c>
      <c r="N182" s="2" t="b">
        <f>ISNUMBER(Table145[[#This Row],[Cost of Living]])</f>
        <v>1</v>
      </c>
      <c r="O182" s="2"/>
      <c r="P182" s="2"/>
      <c r="Q182" s="2"/>
      <c r="R182" s="2"/>
      <c r="S182" s="2"/>
      <c r="T182" s="2"/>
      <c r="U182" s="2"/>
      <c r="V182" s="2"/>
      <c r="W182" s="2"/>
    </row>
    <row r="183" spans="1:23" x14ac:dyDescent="0.35">
      <c r="A183" s="2" t="s">
        <v>854</v>
      </c>
      <c r="B183" s="2" t="s">
        <v>15</v>
      </c>
      <c r="C183" s="2" t="s">
        <v>16</v>
      </c>
      <c r="D183" s="2" t="s">
        <v>855</v>
      </c>
      <c r="E183" s="2" t="s">
        <v>856</v>
      </c>
      <c r="F183" s="2" t="s">
        <v>857</v>
      </c>
      <c r="G183" s="2" t="s">
        <v>858</v>
      </c>
      <c r="H183" s="2">
        <v>2024</v>
      </c>
      <c r="I183" s="2">
        <v>14.3519273571008</v>
      </c>
      <c r="J183" s="2"/>
      <c r="K183" s="2">
        <f>IFERROR(VALUE(Table145[[#This Row],[Inflation Annual Pct]])," ")</f>
        <v>14.3519273571008</v>
      </c>
      <c r="L183" s="2">
        <f>IFERROR(VALUE(Table145[[#This Row],[Cost of Living ]])," ")</f>
        <v>0</v>
      </c>
      <c r="M183" s="2" t="b">
        <f>ISNUMBER(Table145[[#This Row],[Inflation Rate]])</f>
        <v>1</v>
      </c>
      <c r="N183" s="2" t="b">
        <f>ISNUMBER(Table145[[#This Row],[Cost of Living]])</f>
        <v>1</v>
      </c>
      <c r="O183" s="2"/>
      <c r="P183" s="2"/>
      <c r="Q183" s="2"/>
      <c r="R183" s="2"/>
      <c r="S183" s="2"/>
      <c r="T183" s="2"/>
      <c r="U183" s="2"/>
      <c r="V183" s="2"/>
      <c r="W183" s="2"/>
    </row>
    <row r="184" spans="1:23" x14ac:dyDescent="0.35">
      <c r="A184" s="2" t="s">
        <v>859</v>
      </c>
      <c r="B184" s="2" t="s">
        <v>2</v>
      </c>
      <c r="C184" s="2" t="s">
        <v>23</v>
      </c>
      <c r="D184" s="2" t="s">
        <v>860</v>
      </c>
      <c r="E184" s="2" t="s">
        <v>861</v>
      </c>
      <c r="F184" s="2" t="s">
        <v>862</v>
      </c>
      <c r="G184" s="2" t="s">
        <v>863</v>
      </c>
      <c r="H184" s="2">
        <v>2024</v>
      </c>
      <c r="I184" s="2">
        <v>16.229615913027899</v>
      </c>
      <c r="J184" s="2"/>
      <c r="K184" s="2">
        <f>IFERROR(VALUE(Table145[[#This Row],[Inflation Annual Pct]])," ")</f>
        <v>16.229615913027899</v>
      </c>
      <c r="L184" s="2">
        <f>IFERROR(VALUE(Table145[[#This Row],[Cost of Living ]])," ")</f>
        <v>0</v>
      </c>
      <c r="M184" s="2" t="b">
        <f>ISNUMBER(Table145[[#This Row],[Inflation Rate]])</f>
        <v>1</v>
      </c>
      <c r="N184" s="2" t="b">
        <f>ISNUMBER(Table145[[#This Row],[Cost of Living]])</f>
        <v>1</v>
      </c>
      <c r="O184" s="2"/>
      <c r="P184" s="2"/>
      <c r="Q184" s="2"/>
      <c r="R184" s="2"/>
      <c r="S184" s="2"/>
      <c r="T184" s="2"/>
      <c r="U184" s="2"/>
      <c r="V184" s="2"/>
      <c r="W184" s="2"/>
    </row>
    <row r="185" spans="1:23" x14ac:dyDescent="0.35">
      <c r="A185" s="2" t="s">
        <v>864</v>
      </c>
      <c r="B185" s="2" t="s">
        <v>22</v>
      </c>
      <c r="C185" s="2" t="s">
        <v>3</v>
      </c>
      <c r="D185" s="2" t="s">
        <v>865</v>
      </c>
      <c r="E185" s="2" t="s">
        <v>866</v>
      </c>
      <c r="F185" s="2" t="s">
        <v>867</v>
      </c>
      <c r="G185" s="2" t="s">
        <v>868</v>
      </c>
      <c r="H185" s="2">
        <v>2024</v>
      </c>
      <c r="I185" s="2">
        <v>2.75760909424279</v>
      </c>
      <c r="J185" s="2"/>
      <c r="K185" s="2">
        <f>IFERROR(VALUE(Table145[[#This Row],[Inflation Annual Pct]])," ")</f>
        <v>2.75760909424279</v>
      </c>
      <c r="L185" s="2">
        <f>IFERROR(VALUE(Table145[[#This Row],[Cost of Living ]])," ")</f>
        <v>0</v>
      </c>
      <c r="M185" s="2" t="b">
        <f>ISNUMBER(Table145[[#This Row],[Inflation Rate]])</f>
        <v>1</v>
      </c>
      <c r="N185" s="2" t="b">
        <f>ISNUMBER(Table145[[#This Row],[Cost of Living]])</f>
        <v>1</v>
      </c>
      <c r="O185" s="2"/>
      <c r="P185" s="2"/>
      <c r="Q185" s="2"/>
      <c r="R185" s="2"/>
      <c r="S185" s="2"/>
      <c r="T185" s="2"/>
      <c r="U185" s="2"/>
      <c r="V185" s="2"/>
      <c r="W185" s="2"/>
    </row>
    <row r="186" spans="1:23" x14ac:dyDescent="0.35">
      <c r="A186" s="2" t="s">
        <v>869</v>
      </c>
      <c r="B186" s="2" t="s">
        <v>22</v>
      </c>
      <c r="C186" s="2" t="s">
        <v>3</v>
      </c>
      <c r="D186" s="2" t="s">
        <v>870</v>
      </c>
      <c r="E186" s="2" t="s">
        <v>871</v>
      </c>
      <c r="F186" s="2" t="s">
        <v>872</v>
      </c>
      <c r="G186" s="2" t="s">
        <v>873</v>
      </c>
      <c r="H186" s="2">
        <v>2024</v>
      </c>
      <c r="I186" s="2">
        <v>1.9656265643250499</v>
      </c>
      <c r="J186" s="2"/>
      <c r="K186" s="2">
        <f>IFERROR(VALUE(Table145[[#This Row],[Inflation Annual Pct]])," ")</f>
        <v>1.9656265643250499</v>
      </c>
      <c r="L186" s="2">
        <f>IFERROR(VALUE(Table145[[#This Row],[Cost of Living ]])," ")</f>
        <v>0</v>
      </c>
      <c r="M186" s="2" t="b">
        <f>ISNUMBER(Table145[[#This Row],[Inflation Rate]])</f>
        <v>1</v>
      </c>
      <c r="N186" s="2" t="b">
        <f>ISNUMBER(Table145[[#This Row],[Cost of Living]])</f>
        <v>1</v>
      </c>
      <c r="O186" s="2"/>
      <c r="P186" s="2"/>
      <c r="Q186" s="2"/>
      <c r="R186" s="2"/>
      <c r="S186" s="2"/>
      <c r="T186" s="2"/>
      <c r="U186" s="2"/>
      <c r="V186" s="2"/>
      <c r="W186" s="2"/>
    </row>
    <row r="187" spans="1:23" x14ac:dyDescent="0.35">
      <c r="A187" s="2" t="s">
        <v>874</v>
      </c>
      <c r="B187" s="2" t="s">
        <v>22</v>
      </c>
      <c r="C187" s="2" t="s">
        <v>3</v>
      </c>
      <c r="D187" s="2" t="s">
        <v>875</v>
      </c>
      <c r="E187" s="2" t="s">
        <v>876</v>
      </c>
      <c r="F187" s="2" t="s">
        <v>877</v>
      </c>
      <c r="G187" s="2" t="s">
        <v>878</v>
      </c>
      <c r="H187" s="2">
        <v>2024</v>
      </c>
      <c r="I187" s="2">
        <v>2.8358165822403398</v>
      </c>
      <c r="J187" s="2"/>
      <c r="K187" s="2">
        <f>IFERROR(VALUE(Table145[[#This Row],[Inflation Annual Pct]])," ")</f>
        <v>2.8358165822403398</v>
      </c>
      <c r="L187" s="2">
        <f>IFERROR(VALUE(Table145[[#This Row],[Cost of Living ]])," ")</f>
        <v>0</v>
      </c>
      <c r="M187" s="2" t="b">
        <f>ISNUMBER(Table145[[#This Row],[Inflation Rate]])</f>
        <v>1</v>
      </c>
      <c r="N187" s="2" t="b">
        <f>ISNUMBER(Table145[[#This Row],[Cost of Living]])</f>
        <v>1</v>
      </c>
      <c r="O187" s="2"/>
      <c r="P187" s="2"/>
      <c r="Q187" s="2"/>
      <c r="R187" s="2"/>
      <c r="S187" s="2"/>
      <c r="T187" s="2">
        <v>5.28</v>
      </c>
      <c r="U187" s="2">
        <v>122.4</v>
      </c>
      <c r="V187" s="2"/>
      <c r="W187" s="2"/>
    </row>
    <row r="188" spans="1:23" x14ac:dyDescent="0.35">
      <c r="A188" s="2" t="s">
        <v>879</v>
      </c>
      <c r="B188" s="2" t="s">
        <v>15</v>
      </c>
      <c r="C188" s="2" t="s">
        <v>16</v>
      </c>
      <c r="D188" s="2" t="s">
        <v>880</v>
      </c>
      <c r="E188" s="2" t="s">
        <v>881</v>
      </c>
      <c r="F188" s="2" t="s">
        <v>882</v>
      </c>
      <c r="G188" s="2"/>
      <c r="H188" s="2"/>
      <c r="I188" s="2"/>
      <c r="J188" s="2"/>
      <c r="K188" s="2">
        <f>IFERROR(VALUE(Table145[[#This Row],[Inflation Annual Pct]])," ")</f>
        <v>0</v>
      </c>
      <c r="L188" s="2">
        <f>IFERROR(VALUE(Table145[[#This Row],[Cost of Living ]])," ")</f>
        <v>0</v>
      </c>
      <c r="M188" s="2" t="b">
        <f>ISNUMBER(Table145[[#This Row],[Inflation Rate]])</f>
        <v>1</v>
      </c>
      <c r="N188" s="2" t="b">
        <f>ISNUMBER(Table145[[#This Row],[Cost of Living]])</f>
        <v>1</v>
      </c>
      <c r="O188" s="2"/>
      <c r="P188" s="2"/>
      <c r="Q188" s="2"/>
      <c r="R188" s="2"/>
      <c r="S188" s="2"/>
      <c r="T188" s="2"/>
      <c r="U188" s="2"/>
      <c r="V188" s="2"/>
      <c r="W188" s="2"/>
    </row>
    <row r="189" spans="1:23" x14ac:dyDescent="0.35">
      <c r="A189" s="2" t="s">
        <v>883</v>
      </c>
      <c r="B189" s="2" t="s">
        <v>2</v>
      </c>
      <c r="C189" s="2" t="s">
        <v>3</v>
      </c>
      <c r="D189" s="2" t="s">
        <v>884</v>
      </c>
      <c r="E189" s="2"/>
      <c r="F189" s="2"/>
      <c r="G189" s="2"/>
      <c r="H189" s="2"/>
      <c r="I189" s="2"/>
      <c r="J189" s="2"/>
      <c r="K189" s="2">
        <f>IFERROR(VALUE(Table145[[#This Row],[Inflation Annual Pct]])," ")</f>
        <v>0</v>
      </c>
      <c r="L189" s="2">
        <f>IFERROR(VALUE(Table145[[#This Row],[Cost of Living ]])," ")</f>
        <v>0</v>
      </c>
      <c r="M189" s="2" t="b">
        <f>ISNUMBER(Table145[[#This Row],[Inflation Rate]])</f>
        <v>1</v>
      </c>
      <c r="N189" s="2" t="b">
        <f>ISNUMBER(Table145[[#This Row],[Cost of Living]])</f>
        <v>1</v>
      </c>
      <c r="O189" s="2"/>
      <c r="P189" s="2"/>
      <c r="Q189" s="2"/>
      <c r="R189" s="2"/>
      <c r="S189" s="2"/>
      <c r="T189" s="2"/>
      <c r="U189" s="2"/>
      <c r="V189" s="2"/>
      <c r="W189" s="2"/>
    </row>
    <row r="190" spans="1:23" x14ac:dyDescent="0.35">
      <c r="A190" s="2" t="s">
        <v>885</v>
      </c>
      <c r="B190" s="2" t="s">
        <v>15</v>
      </c>
      <c r="C190" s="2" t="s">
        <v>3</v>
      </c>
      <c r="D190" s="2" t="s">
        <v>886</v>
      </c>
      <c r="E190" s="2" t="s">
        <v>887</v>
      </c>
      <c r="F190" s="2" t="s">
        <v>888</v>
      </c>
      <c r="G190" s="2" t="s">
        <v>889</v>
      </c>
      <c r="H190" s="2">
        <v>2024</v>
      </c>
      <c r="I190" s="2">
        <v>0.31172605091966799</v>
      </c>
      <c r="J190" s="2"/>
      <c r="K190" s="2">
        <f>IFERROR(VALUE(Table145[[#This Row],[Inflation Annual Pct]])," ")</f>
        <v>0.31172605091966799</v>
      </c>
      <c r="L190" s="2">
        <f>IFERROR(VALUE(Table145[[#This Row],[Cost of Living ]])," ")</f>
        <v>0</v>
      </c>
      <c r="M190" s="2" t="b">
        <f>ISNUMBER(Table145[[#This Row],[Inflation Rate]])</f>
        <v>1</v>
      </c>
      <c r="N190" s="2" t="b">
        <f>ISNUMBER(Table145[[#This Row],[Cost of Living]])</f>
        <v>1</v>
      </c>
      <c r="O190" s="2"/>
      <c r="P190" s="2"/>
      <c r="Q190" s="2"/>
      <c r="R190" s="2"/>
      <c r="S190" s="2"/>
      <c r="T190" s="2"/>
      <c r="U190" s="2"/>
      <c r="V190" s="2"/>
      <c r="W190" s="2"/>
    </row>
    <row r="191" spans="1:23" x14ac:dyDescent="0.35">
      <c r="A191" s="2" t="s">
        <v>890</v>
      </c>
      <c r="B191" s="2" t="s">
        <v>8</v>
      </c>
      <c r="C191" s="2" t="s">
        <v>9</v>
      </c>
      <c r="D191" s="2" t="s">
        <v>891</v>
      </c>
      <c r="E191" s="2" t="s">
        <v>892</v>
      </c>
      <c r="F191" s="2" t="s">
        <v>893</v>
      </c>
      <c r="G191" s="2"/>
      <c r="H191" s="2"/>
      <c r="I191" s="2"/>
      <c r="J191" s="2"/>
      <c r="K191" s="2">
        <f>IFERROR(VALUE(Table145[[#This Row],[Inflation Annual Pct]])," ")</f>
        <v>0</v>
      </c>
      <c r="L191" s="2">
        <f>IFERROR(VALUE(Table145[[#This Row],[Cost of Living ]])," ")</f>
        <v>0</v>
      </c>
      <c r="M191" s="2" t="b">
        <f>ISNUMBER(Table145[[#This Row],[Inflation Rate]])</f>
        <v>1</v>
      </c>
      <c r="N191" s="2" t="b">
        <f>ISNUMBER(Table145[[#This Row],[Cost of Living]])</f>
        <v>1</v>
      </c>
      <c r="O191" s="2"/>
      <c r="P191" s="2"/>
      <c r="Q191" s="2"/>
      <c r="R191" s="2"/>
      <c r="S191" s="2"/>
      <c r="T191" s="2"/>
      <c r="U191" s="2"/>
      <c r="V191" s="2"/>
      <c r="W191" s="2"/>
    </row>
    <row r="192" spans="1:23" x14ac:dyDescent="0.35">
      <c r="A192" s="2" t="s">
        <v>894</v>
      </c>
      <c r="B192" s="2" t="s">
        <v>2</v>
      </c>
      <c r="C192" s="2" t="s">
        <v>3</v>
      </c>
      <c r="D192" s="2" t="s">
        <v>895</v>
      </c>
      <c r="E192" s="2" t="s">
        <v>896</v>
      </c>
      <c r="F192" s="2" t="s">
        <v>897</v>
      </c>
      <c r="G192" s="2"/>
      <c r="H192" s="2"/>
      <c r="I192" s="2"/>
      <c r="J192" s="2"/>
      <c r="K192" s="2">
        <f>IFERROR(VALUE(Table145[[#This Row],[Inflation Annual Pct]])," ")</f>
        <v>0</v>
      </c>
      <c r="L192" s="2">
        <f>IFERROR(VALUE(Table145[[#This Row],[Cost of Living ]])," ")</f>
        <v>0</v>
      </c>
      <c r="M192" s="2" t="b">
        <f>ISNUMBER(Table145[[#This Row],[Inflation Rate]])</f>
        <v>1</v>
      </c>
      <c r="N192" s="2" t="b">
        <f>ISNUMBER(Table145[[#This Row],[Cost of Living]])</f>
        <v>1</v>
      </c>
      <c r="O192" s="2"/>
      <c r="P192" s="2"/>
      <c r="Q192" s="2"/>
      <c r="R192" s="2"/>
      <c r="S192" s="2"/>
      <c r="T192" s="2"/>
      <c r="U192" s="2"/>
      <c r="V192" s="2"/>
      <c r="W192" s="2"/>
    </row>
    <row r="193" spans="1:23" x14ac:dyDescent="0.35">
      <c r="A193" s="2" t="s">
        <v>898</v>
      </c>
      <c r="B193" s="2" t="s">
        <v>15</v>
      </c>
      <c r="C193" s="2" t="s">
        <v>9</v>
      </c>
      <c r="D193" s="2" t="s">
        <v>899</v>
      </c>
      <c r="E193" s="2" t="s">
        <v>900</v>
      </c>
      <c r="F193" s="2" t="s">
        <v>901</v>
      </c>
      <c r="G193" s="2" t="s">
        <v>902</v>
      </c>
      <c r="H193" s="2">
        <v>2024</v>
      </c>
      <c r="I193" s="2">
        <v>8.8995073226375396</v>
      </c>
      <c r="J193" s="2"/>
      <c r="K193" s="2">
        <f>IFERROR(VALUE(Table145[[#This Row],[Inflation Annual Pct]])," ")</f>
        <v>8.8995073226375396</v>
      </c>
      <c r="L193" s="2">
        <f>IFERROR(VALUE(Table145[[#This Row],[Cost of Living ]])," ")</f>
        <v>0</v>
      </c>
      <c r="M193" s="2" t="b">
        <f>ISNUMBER(Table145[[#This Row],[Inflation Rate]])</f>
        <v>1</v>
      </c>
      <c r="N193" s="2" t="b">
        <f>ISNUMBER(Table145[[#This Row],[Cost of Living]])</f>
        <v>1</v>
      </c>
      <c r="O193" s="2"/>
      <c r="P193" s="2"/>
      <c r="Q193" s="2"/>
      <c r="R193" s="2"/>
      <c r="S193" s="2">
        <v>0.36</v>
      </c>
      <c r="T193" s="2"/>
      <c r="U193" s="2"/>
      <c r="V193" s="2"/>
      <c r="W193" s="2"/>
    </row>
    <row r="194" spans="1:23" x14ac:dyDescent="0.35">
      <c r="A194" s="2" t="s">
        <v>903</v>
      </c>
      <c r="B194" s="2" t="s">
        <v>15</v>
      </c>
      <c r="C194" s="2" t="s">
        <v>16</v>
      </c>
      <c r="D194" s="2" t="s">
        <v>904</v>
      </c>
      <c r="E194" s="2" t="s">
        <v>905</v>
      </c>
      <c r="F194" s="2" t="s">
        <v>906</v>
      </c>
      <c r="G194" s="2" t="s">
        <v>907</v>
      </c>
      <c r="H194" s="2">
        <v>2024</v>
      </c>
      <c r="I194" s="2">
        <v>2.8626207408980102</v>
      </c>
      <c r="J194" s="2"/>
      <c r="K194" s="2">
        <f>IFERROR(VALUE(Table145[[#This Row],[Inflation Annual Pct]])," ")</f>
        <v>2.8626207408980102</v>
      </c>
      <c r="L194" s="2">
        <f>IFERROR(VALUE(Table145[[#This Row],[Cost of Living ]])," ")</f>
        <v>0</v>
      </c>
      <c r="M194" s="2" t="b">
        <f>ISNUMBER(Table145[[#This Row],[Inflation Rate]])</f>
        <v>1</v>
      </c>
      <c r="N194" s="2" t="b">
        <f>ISNUMBER(Table145[[#This Row],[Cost of Living]])</f>
        <v>1</v>
      </c>
      <c r="O194" s="2"/>
      <c r="P194" s="2"/>
      <c r="Q194" s="2"/>
      <c r="R194" s="2"/>
      <c r="S194" s="2"/>
      <c r="T194" s="2"/>
      <c r="U194" s="2"/>
      <c r="V194" s="2"/>
      <c r="W194" s="2"/>
    </row>
    <row r="195" spans="1:23" x14ac:dyDescent="0.35">
      <c r="A195" s="2" t="s">
        <v>913</v>
      </c>
      <c r="B195" s="2" t="s">
        <v>22</v>
      </c>
      <c r="C195" s="2" t="s">
        <v>16</v>
      </c>
      <c r="D195" s="2" t="s">
        <v>914</v>
      </c>
      <c r="E195" s="2" t="s">
        <v>915</v>
      </c>
      <c r="F195" s="2" t="s">
        <v>916</v>
      </c>
      <c r="G195" s="2"/>
      <c r="H195" s="2"/>
      <c r="I195" s="2"/>
      <c r="J195" s="2"/>
      <c r="K195" s="2">
        <f>IFERROR(VALUE(Table145[[#This Row],[Inflation Annual Pct]])," ")</f>
        <v>0</v>
      </c>
      <c r="L195" s="2">
        <f>IFERROR(VALUE(Table145[[#This Row],[Cost of Living ]])," ")</f>
        <v>0</v>
      </c>
      <c r="M195" s="2" t="b">
        <f>ISNUMBER(Table145[[#This Row],[Inflation Rate]])</f>
        <v>1</v>
      </c>
      <c r="N195" s="2" t="b">
        <f>ISNUMBER(Table145[[#This Row],[Cost of Living]])</f>
        <v>1</v>
      </c>
      <c r="O195" s="2"/>
      <c r="P195" s="2"/>
      <c r="Q195" s="2"/>
      <c r="R195" s="2"/>
      <c r="S195" s="2"/>
      <c r="T195" s="2"/>
      <c r="U195" s="2"/>
      <c r="V195" s="2"/>
      <c r="W195" s="2"/>
    </row>
    <row r="196" spans="1:23" x14ac:dyDescent="0.35">
      <c r="A196" s="2" t="s">
        <v>917</v>
      </c>
      <c r="B196" s="2" t="s">
        <v>22</v>
      </c>
      <c r="C196" s="2" t="s">
        <v>23</v>
      </c>
      <c r="D196" s="2" t="s">
        <v>918</v>
      </c>
      <c r="E196" s="2" t="s">
        <v>919</v>
      </c>
      <c r="F196" s="2" t="s">
        <v>920</v>
      </c>
      <c r="G196" s="2"/>
      <c r="H196" s="2"/>
      <c r="I196" s="2"/>
      <c r="J196" s="2"/>
      <c r="K196" s="2">
        <f>IFERROR(VALUE(Table145[[#This Row],[Inflation Annual Pct]])," ")</f>
        <v>0</v>
      </c>
      <c r="L196" s="2">
        <f>IFERROR(VALUE(Table145[[#This Row],[Cost of Living ]])," ")</f>
        <v>0</v>
      </c>
      <c r="M196" s="2" t="b">
        <f>ISNUMBER(Table145[[#This Row],[Inflation Rate]])</f>
        <v>1</v>
      </c>
      <c r="N196" s="2" t="b">
        <f>ISNUMBER(Table145[[#This Row],[Cost of Living]])</f>
        <v>1</v>
      </c>
      <c r="O196" s="2"/>
      <c r="P196" s="2"/>
      <c r="Q196" s="2"/>
      <c r="R196" s="2"/>
      <c r="S196" s="2"/>
      <c r="T196" s="2"/>
      <c r="U196" s="2"/>
      <c r="V196" s="2"/>
      <c r="W196" s="2"/>
    </row>
    <row r="197" spans="1:23" x14ac:dyDescent="0.35">
      <c r="A197" s="2" t="s">
        <v>921</v>
      </c>
      <c r="B197" s="2" t="s">
        <v>48</v>
      </c>
      <c r="C197" s="2" t="s">
        <v>16</v>
      </c>
      <c r="D197" s="2" t="s">
        <v>922</v>
      </c>
      <c r="E197" s="2" t="s">
        <v>923</v>
      </c>
      <c r="F197" s="2" t="s">
        <v>924</v>
      </c>
      <c r="G197" s="2" t="s">
        <v>925</v>
      </c>
      <c r="H197" s="2">
        <v>2024</v>
      </c>
      <c r="I197" s="2">
        <v>2.0628415300546799</v>
      </c>
      <c r="J197" s="2"/>
      <c r="K197" s="2">
        <f>IFERROR(VALUE(Table145[[#This Row],[Inflation Annual Pct]])," ")</f>
        <v>2.0628415300546799</v>
      </c>
      <c r="L197" s="2">
        <f>IFERROR(VALUE(Table145[[#This Row],[Cost of Living ]])," ")</f>
        <v>0</v>
      </c>
      <c r="M197" s="2" t="b">
        <f>ISNUMBER(Table145[[#This Row],[Inflation Rate]])</f>
        <v>1</v>
      </c>
      <c r="N197" s="2" t="b">
        <f>ISNUMBER(Table145[[#This Row],[Cost of Living]])</f>
        <v>1</v>
      </c>
      <c r="O197" s="2"/>
      <c r="P197" s="2"/>
      <c r="Q197" s="2"/>
      <c r="R197" s="2"/>
      <c r="S197" s="2"/>
      <c r="T197" s="2"/>
      <c r="U197" s="2"/>
      <c r="V197" s="2"/>
      <c r="W197" s="2"/>
    </row>
    <row r="198" spans="1:23" x14ac:dyDescent="0.35">
      <c r="A198" s="2" t="s">
        <v>926</v>
      </c>
      <c r="B198" s="2" t="s">
        <v>48</v>
      </c>
      <c r="C198" s="2" t="s">
        <v>23</v>
      </c>
      <c r="D198" s="2" t="s">
        <v>927</v>
      </c>
      <c r="E198" s="2" t="s">
        <v>928</v>
      </c>
      <c r="F198" s="2" t="s">
        <v>929</v>
      </c>
      <c r="G198" s="2" t="s">
        <v>930</v>
      </c>
      <c r="H198" s="2">
        <v>2024</v>
      </c>
      <c r="I198" s="2">
        <v>3.1818892423747198</v>
      </c>
      <c r="J198" s="2"/>
      <c r="K198" s="2">
        <f>IFERROR(VALUE(Table145[[#This Row],[Inflation Annual Pct]])," ")</f>
        <v>3.1818892423747198</v>
      </c>
      <c r="L198" s="2">
        <f>IFERROR(VALUE(Table145[[#This Row],[Cost of Living ]])," ")</f>
        <v>0</v>
      </c>
      <c r="M198" s="2" t="b">
        <f>ISNUMBER(Table145[[#This Row],[Inflation Rate]])</f>
        <v>1</v>
      </c>
      <c r="N198" s="2" t="b">
        <f>ISNUMBER(Table145[[#This Row],[Cost of Living]])</f>
        <v>1</v>
      </c>
      <c r="O198" s="2"/>
      <c r="P198" s="2"/>
      <c r="Q198" s="2"/>
      <c r="R198" s="2"/>
      <c r="S198" s="2"/>
      <c r="T198" s="2"/>
      <c r="U198" s="2"/>
      <c r="V198" s="2"/>
      <c r="W198" s="2"/>
    </row>
    <row r="199" spans="1:23" x14ac:dyDescent="0.35">
      <c r="A199" s="2" t="s">
        <v>931</v>
      </c>
      <c r="B199" s="2" t="s">
        <v>2</v>
      </c>
      <c r="C199" s="2" t="s">
        <v>3</v>
      </c>
      <c r="D199" s="2" t="s">
        <v>932</v>
      </c>
      <c r="E199" s="2" t="s">
        <v>933</v>
      </c>
      <c r="F199" s="2" t="s">
        <v>934</v>
      </c>
      <c r="G199" s="2" t="s">
        <v>935</v>
      </c>
      <c r="H199" s="2">
        <v>2024</v>
      </c>
      <c r="I199" s="2">
        <v>0.52688462577683903</v>
      </c>
      <c r="J199" s="2"/>
      <c r="K199" s="2">
        <f>IFERROR(VALUE(Table145[[#This Row],[Inflation Annual Pct]])," ")</f>
        <v>0.52688462577683903</v>
      </c>
      <c r="L199" s="2">
        <f>IFERROR(VALUE(Table145[[#This Row],[Cost of Living ]])," ")</f>
        <v>0</v>
      </c>
      <c r="M199" s="2" t="b">
        <f>ISNUMBER(Table145[[#This Row],[Inflation Rate]])</f>
        <v>1</v>
      </c>
      <c r="N199" s="2" t="b">
        <f>ISNUMBER(Table145[[#This Row],[Cost of Living]])</f>
        <v>1</v>
      </c>
      <c r="O199" s="2"/>
      <c r="P199" s="2"/>
      <c r="Q199" s="2"/>
      <c r="R199" s="2"/>
      <c r="S199" s="2"/>
      <c r="T199" s="2"/>
      <c r="U199" s="2"/>
      <c r="V199" s="2"/>
      <c r="W199" s="2"/>
    </row>
    <row r="200" spans="1:23" x14ac:dyDescent="0.35">
      <c r="A200" s="2" t="s">
        <v>936</v>
      </c>
      <c r="B200" s="2" t="s">
        <v>8</v>
      </c>
      <c r="C200" s="2" t="s">
        <v>16</v>
      </c>
      <c r="D200" s="2" t="s">
        <v>937</v>
      </c>
      <c r="E200" s="2" t="s">
        <v>938</v>
      </c>
      <c r="F200" s="2" t="s">
        <v>939</v>
      </c>
      <c r="G200" s="2" t="s">
        <v>940</v>
      </c>
      <c r="H200" s="2">
        <v>2024</v>
      </c>
      <c r="I200" s="2">
        <v>7.20661657168794</v>
      </c>
      <c r="J200" s="2"/>
      <c r="K200" s="2">
        <f>IFERROR(VALUE(Table145[[#This Row],[Inflation Annual Pct]])," ")</f>
        <v>7.20661657168794</v>
      </c>
      <c r="L200" s="2">
        <f>IFERROR(VALUE(Table145[[#This Row],[Cost of Living ]])," ")</f>
        <v>0</v>
      </c>
      <c r="M200" s="2" t="b">
        <f>ISNUMBER(Table145[[#This Row],[Inflation Rate]])</f>
        <v>1</v>
      </c>
      <c r="N200" s="2" t="b">
        <f>ISNUMBER(Table145[[#This Row],[Cost of Living]])</f>
        <v>1</v>
      </c>
      <c r="O200" s="2"/>
      <c r="P200" s="2"/>
      <c r="Q200" s="2"/>
      <c r="R200" s="2"/>
      <c r="S200" s="2"/>
      <c r="T200" s="2"/>
      <c r="U200" s="2"/>
      <c r="V200" s="2"/>
      <c r="W200" s="2"/>
    </row>
    <row r="201" spans="1:23" x14ac:dyDescent="0.35">
      <c r="A201" s="2" t="s">
        <v>941</v>
      </c>
      <c r="B201" s="2" t="s">
        <v>22</v>
      </c>
      <c r="C201" s="2" t="s">
        <v>23</v>
      </c>
      <c r="D201" s="2" t="s">
        <v>942</v>
      </c>
      <c r="E201" s="2" t="s">
        <v>943</v>
      </c>
      <c r="F201" s="2" t="s">
        <v>944</v>
      </c>
      <c r="G201" s="2" t="s">
        <v>945</v>
      </c>
      <c r="H201" s="2">
        <v>2024</v>
      </c>
      <c r="I201" s="2">
        <v>58.506450730034203</v>
      </c>
      <c r="J201" s="2"/>
      <c r="K201" s="2">
        <f>IFERROR(VALUE(Table145[[#This Row],[Inflation Annual Pct]])," ")</f>
        <v>58.506450730034203</v>
      </c>
      <c r="L201" s="2">
        <f>IFERROR(VALUE(Table145[[#This Row],[Cost of Living ]])," ")</f>
        <v>0</v>
      </c>
      <c r="M201" s="2" t="b">
        <f>ISNUMBER(Table145[[#This Row],[Inflation Rate]])</f>
        <v>1</v>
      </c>
      <c r="N201" s="2" t="b">
        <f>ISNUMBER(Table145[[#This Row],[Cost of Living]])</f>
        <v>1</v>
      </c>
      <c r="O201" s="2"/>
      <c r="P201" s="2"/>
      <c r="Q201" s="2"/>
      <c r="R201" s="2"/>
      <c r="S201" s="2"/>
      <c r="T201" s="2"/>
      <c r="U201" s="2"/>
      <c r="V201" s="2"/>
      <c r="W201" s="2"/>
    </row>
    <row r="202" spans="1:23" x14ac:dyDescent="0.35">
      <c r="A202" s="2" t="s">
        <v>946</v>
      </c>
      <c r="B202" s="2" t="s">
        <v>48</v>
      </c>
      <c r="C202" s="2" t="s">
        <v>23</v>
      </c>
      <c r="D202" s="2" t="s">
        <v>947</v>
      </c>
      <c r="E202" s="2" t="s">
        <v>948</v>
      </c>
      <c r="F202" s="2" t="s">
        <v>949</v>
      </c>
      <c r="G202" s="2"/>
      <c r="H202" s="2"/>
      <c r="I202" s="2"/>
      <c r="J202" s="2"/>
      <c r="K202" s="2">
        <f>IFERROR(VALUE(Table145[[#This Row],[Inflation Annual Pct]])," ")</f>
        <v>0</v>
      </c>
      <c r="L202" s="2">
        <f>IFERROR(VALUE(Table145[[#This Row],[Cost of Living ]])," ")</f>
        <v>0</v>
      </c>
      <c r="M202" s="2" t="b">
        <f>ISNUMBER(Table145[[#This Row],[Inflation Rate]])</f>
        <v>1</v>
      </c>
      <c r="N202" s="2" t="b">
        <f>ISNUMBER(Table145[[#This Row],[Cost of Living]])</f>
        <v>1</v>
      </c>
      <c r="O202" s="2"/>
      <c r="P202" s="2"/>
      <c r="Q202" s="2"/>
      <c r="R202" s="2"/>
      <c r="S202" s="2"/>
      <c r="T202" s="2"/>
      <c r="U202" s="2"/>
      <c r="V202" s="2"/>
      <c r="W202" s="2"/>
    </row>
    <row r="203" spans="1:23" x14ac:dyDescent="0.35">
      <c r="A203" s="2" t="s">
        <v>950</v>
      </c>
      <c r="B203" s="2" t="s">
        <v>15</v>
      </c>
      <c r="C203" s="2" t="s">
        <v>16</v>
      </c>
      <c r="D203" s="2" t="s">
        <v>951</v>
      </c>
      <c r="E203" s="2" t="s">
        <v>952</v>
      </c>
      <c r="F203" s="2" t="s">
        <v>953</v>
      </c>
      <c r="G203" s="2" t="s">
        <v>954</v>
      </c>
      <c r="H203" s="2">
        <v>2024</v>
      </c>
      <c r="I203" s="2">
        <v>3.0569467631237299</v>
      </c>
      <c r="J203" s="2"/>
      <c r="K203" s="2">
        <f>IFERROR(VALUE(Table145[[#This Row],[Inflation Annual Pct]])," ")</f>
        <v>3.0569467631237299</v>
      </c>
      <c r="L203" s="2">
        <f>IFERROR(VALUE(Table145[[#This Row],[Cost of Living ]])," ")</f>
        <v>0</v>
      </c>
      <c r="M203" s="2" t="b">
        <f>ISNUMBER(Table145[[#This Row],[Inflation Rate]])</f>
        <v>1</v>
      </c>
      <c r="N203" s="2" t="b">
        <f>ISNUMBER(Table145[[#This Row],[Cost of Living]])</f>
        <v>1</v>
      </c>
      <c r="O203" s="2"/>
      <c r="P203" s="2"/>
      <c r="Q203" s="2"/>
      <c r="R203" s="2"/>
      <c r="S203" s="2"/>
      <c r="T203" s="2"/>
      <c r="U203" s="2"/>
      <c r="V203" s="2"/>
      <c r="W203" s="2"/>
    </row>
    <row r="204" spans="1:23" x14ac:dyDescent="0.35">
      <c r="A204" s="2" t="s">
        <v>955</v>
      </c>
      <c r="B204" s="2" t="s">
        <v>15</v>
      </c>
      <c r="C204" s="2" t="s">
        <v>9</v>
      </c>
      <c r="D204" s="2" t="s">
        <v>956</v>
      </c>
      <c r="E204" s="2" t="s">
        <v>957</v>
      </c>
      <c r="F204" s="2" t="s">
        <v>958</v>
      </c>
      <c r="G204" s="2" t="s">
        <v>959</v>
      </c>
      <c r="H204" s="2">
        <v>2024</v>
      </c>
      <c r="I204" s="2">
        <v>3.32338033691819</v>
      </c>
      <c r="J204" s="2"/>
      <c r="K204" s="2">
        <f>IFERROR(VALUE(Table145[[#This Row],[Inflation Annual Pct]])," ")</f>
        <v>3.32338033691819</v>
      </c>
      <c r="L204" s="2">
        <f>IFERROR(VALUE(Table145[[#This Row],[Cost of Living ]])," ")</f>
        <v>0</v>
      </c>
      <c r="M204" s="2" t="b">
        <f>ISNUMBER(Table145[[#This Row],[Inflation Rate]])</f>
        <v>1</v>
      </c>
      <c r="N204" s="2" t="b">
        <f>ISNUMBER(Table145[[#This Row],[Cost of Living]])</f>
        <v>1</v>
      </c>
      <c r="O204" s="2"/>
      <c r="P204" s="2"/>
      <c r="Q204" s="2"/>
      <c r="R204" s="2"/>
      <c r="S204" s="2"/>
      <c r="T204" s="2"/>
      <c r="U204" s="2"/>
      <c r="V204" s="2"/>
      <c r="W204" s="2"/>
    </row>
    <row r="205" spans="1:23" x14ac:dyDescent="0.35">
      <c r="A205" s="2" t="s">
        <v>960</v>
      </c>
      <c r="B205" s="2" t="s">
        <v>22</v>
      </c>
      <c r="C205" s="2" t="s">
        <v>23</v>
      </c>
      <c r="D205" s="2" t="s">
        <v>961</v>
      </c>
      <c r="E205" s="2" t="s">
        <v>962</v>
      </c>
      <c r="F205" s="2" t="s">
        <v>963</v>
      </c>
      <c r="G205" s="2" t="s">
        <v>964</v>
      </c>
      <c r="H205" s="2">
        <v>2024</v>
      </c>
      <c r="I205" s="2">
        <v>6.5019846466925397</v>
      </c>
      <c r="J205" s="2"/>
      <c r="K205" s="2">
        <f>IFERROR(VALUE(Table145[[#This Row],[Inflation Annual Pct]])," ")</f>
        <v>6.5019846466925397</v>
      </c>
      <c r="L205" s="2">
        <f>IFERROR(VALUE(Table145[[#This Row],[Cost of Living ]])," ")</f>
        <v>0</v>
      </c>
      <c r="M205" s="2" t="b">
        <f>ISNUMBER(Table145[[#This Row],[Inflation Rate]])</f>
        <v>1</v>
      </c>
      <c r="N205" s="2" t="b">
        <f>ISNUMBER(Table145[[#This Row],[Cost of Living]])</f>
        <v>1</v>
      </c>
      <c r="O205" s="2"/>
      <c r="P205" s="2"/>
      <c r="Q205" s="2"/>
      <c r="R205" s="2"/>
      <c r="S205" s="2"/>
      <c r="T205" s="2"/>
      <c r="U205" s="2"/>
      <c r="V205" s="2"/>
      <c r="W205" s="2"/>
    </row>
    <row r="206" spans="1:23" x14ac:dyDescent="0.35">
      <c r="A206" s="2" t="s">
        <v>965</v>
      </c>
      <c r="B206" s="2" t="s">
        <v>2</v>
      </c>
      <c r="C206" s="2" t="s">
        <v>3</v>
      </c>
      <c r="D206" s="2" t="s">
        <v>966</v>
      </c>
      <c r="E206" s="2" t="s">
        <v>967</v>
      </c>
      <c r="F206" s="2" t="s">
        <v>968</v>
      </c>
      <c r="G206" s="2" t="s">
        <v>969</v>
      </c>
      <c r="H206" s="2">
        <v>2024</v>
      </c>
      <c r="I206" s="2">
        <v>4.8491436661315603</v>
      </c>
      <c r="J206" s="2"/>
      <c r="K206" s="2">
        <f>IFERROR(VALUE(Table145[[#This Row],[Inflation Annual Pct]])," ")</f>
        <v>4.8491436661315603</v>
      </c>
      <c r="L206" s="2">
        <f>IFERROR(VALUE(Table145[[#This Row],[Cost of Living ]])," ")</f>
        <v>0</v>
      </c>
      <c r="M206" s="2" t="b">
        <f>ISNUMBER(Table145[[#This Row],[Inflation Rate]])</f>
        <v>1</v>
      </c>
      <c r="N206" s="2" t="b">
        <f>ISNUMBER(Table145[[#This Row],[Cost of Living]])</f>
        <v>1</v>
      </c>
      <c r="O206" s="2"/>
      <c r="P206" s="2"/>
      <c r="Q206" s="2"/>
      <c r="R206" s="2"/>
      <c r="S206" s="2"/>
      <c r="T206" s="2"/>
      <c r="U206" s="2"/>
      <c r="V206" s="2"/>
      <c r="W206" s="2"/>
    </row>
    <row r="207" spans="1:23" x14ac:dyDescent="0.35">
      <c r="A207" s="2" t="s">
        <v>975</v>
      </c>
      <c r="B207" s="2" t="s">
        <v>22</v>
      </c>
      <c r="C207" s="2" t="s">
        <v>16</v>
      </c>
      <c r="D207" s="2" t="s">
        <v>976</v>
      </c>
      <c r="E207" s="2" t="s">
        <v>977</v>
      </c>
      <c r="F207" s="2" t="s">
        <v>978</v>
      </c>
      <c r="G207" s="2" t="s">
        <v>979</v>
      </c>
      <c r="H207" s="2">
        <v>2024</v>
      </c>
      <c r="I207" s="2">
        <v>9.6282546595668208</v>
      </c>
      <c r="J207" s="2"/>
      <c r="K207" s="2">
        <f>IFERROR(VALUE(Table145[[#This Row],[Inflation Annual Pct]])," ")</f>
        <v>9.6282546595668208</v>
      </c>
      <c r="L207" s="2">
        <f>IFERROR(VALUE(Table145[[#This Row],[Cost of Living ]])," ")</f>
        <v>0</v>
      </c>
      <c r="M207" s="2" t="b">
        <f>ISNUMBER(Table145[[#This Row],[Inflation Rate]])</f>
        <v>1</v>
      </c>
      <c r="N207" s="2" t="b">
        <f>ISNUMBER(Table145[[#This Row],[Cost of Living]])</f>
        <v>1</v>
      </c>
      <c r="O207" s="2"/>
      <c r="P207" s="2"/>
      <c r="Q207" s="2"/>
      <c r="R207" s="2"/>
      <c r="S207" s="2">
        <v>0.4</v>
      </c>
      <c r="T207" s="2"/>
      <c r="U207" s="2"/>
      <c r="V207" s="2"/>
      <c r="W207" s="2"/>
    </row>
    <row r="208" spans="1:23" x14ac:dyDescent="0.35">
      <c r="A208" s="2" t="s">
        <v>980</v>
      </c>
      <c r="B208" s="2" t="s">
        <v>2</v>
      </c>
      <c r="C208" s="2" t="s">
        <v>23</v>
      </c>
      <c r="D208" s="2" t="s">
        <v>981</v>
      </c>
      <c r="E208" s="2" t="s">
        <v>982</v>
      </c>
      <c r="F208" s="2" t="s">
        <v>983</v>
      </c>
      <c r="G208" s="2" t="s">
        <v>984</v>
      </c>
      <c r="H208" s="2">
        <v>2024</v>
      </c>
      <c r="I208" s="2">
        <v>3.6277073694092699</v>
      </c>
      <c r="J208" s="2"/>
      <c r="K208" s="2">
        <f>IFERROR(VALUE(Table145[[#This Row],[Inflation Annual Pct]])," ")</f>
        <v>3.6277073694092699</v>
      </c>
      <c r="L208" s="2">
        <f>IFERROR(VALUE(Table145[[#This Row],[Cost of Living ]])," ")</f>
        <v>0</v>
      </c>
      <c r="M208" s="2" t="b">
        <f>ISNUMBER(Table145[[#This Row],[Inflation Rate]])</f>
        <v>1</v>
      </c>
      <c r="N208" s="2" t="b">
        <f>ISNUMBER(Table145[[#This Row],[Cost of Living]])</f>
        <v>1</v>
      </c>
      <c r="O208" s="2"/>
      <c r="P208" s="2"/>
      <c r="Q208" s="2"/>
      <c r="R208" s="2"/>
      <c r="S208" s="2"/>
      <c r="T208" s="2"/>
      <c r="U208" s="2"/>
      <c r="V208" s="2"/>
      <c r="W208" s="2"/>
    </row>
    <row r="209" spans="1:23" x14ac:dyDescent="0.35">
      <c r="A209" s="2" t="s">
        <v>985</v>
      </c>
      <c r="B209" s="2" t="s">
        <v>2</v>
      </c>
      <c r="C209" s="2" t="s">
        <v>16</v>
      </c>
      <c r="D209" s="2" t="s">
        <v>986</v>
      </c>
      <c r="E209" s="2" t="s">
        <v>987</v>
      </c>
      <c r="F209" s="2" t="s">
        <v>988</v>
      </c>
      <c r="G209" s="2"/>
      <c r="H209" s="2"/>
      <c r="I209" s="2"/>
      <c r="J209" s="2"/>
      <c r="K209" s="2">
        <f>IFERROR(VALUE(Table145[[#This Row],[Inflation Annual Pct]])," ")</f>
        <v>0</v>
      </c>
      <c r="L209" s="2">
        <f>IFERROR(VALUE(Table145[[#This Row],[Cost of Living ]])," ")</f>
        <v>0</v>
      </c>
      <c r="M209" s="2" t="b">
        <f>ISNUMBER(Table145[[#This Row],[Inflation Rate]])</f>
        <v>1</v>
      </c>
      <c r="N209" s="2" t="b">
        <f>ISNUMBER(Table145[[#This Row],[Cost of Living]])</f>
        <v>1</v>
      </c>
      <c r="O209" s="2"/>
      <c r="P209" s="2"/>
      <c r="Q209" s="2"/>
      <c r="R209" s="2"/>
      <c r="S209" s="2"/>
      <c r="T209" s="2"/>
      <c r="U209" s="2"/>
      <c r="V209" s="2"/>
      <c r="W209" s="2"/>
    </row>
    <row r="210" spans="1:23" x14ac:dyDescent="0.35">
      <c r="A210" s="2" t="s">
        <v>989</v>
      </c>
      <c r="B210" s="2" t="s">
        <v>2</v>
      </c>
      <c r="C210" s="2" t="s">
        <v>3</v>
      </c>
      <c r="D210" s="2" t="s">
        <v>990</v>
      </c>
      <c r="E210" s="2" t="s">
        <v>991</v>
      </c>
      <c r="F210" s="2" t="s">
        <v>992</v>
      </c>
      <c r="G210" s="2"/>
      <c r="H210" s="2"/>
      <c r="I210" s="2"/>
      <c r="J210" s="2"/>
      <c r="K210" s="2">
        <f>IFERROR(VALUE(Table145[[#This Row],[Inflation Annual Pct]])," ")</f>
        <v>0</v>
      </c>
      <c r="L210" s="2">
        <f>IFERROR(VALUE(Table145[[#This Row],[Cost of Living ]])," ")</f>
        <v>0</v>
      </c>
      <c r="M210" s="2" t="b">
        <f>ISNUMBER(Table145[[#This Row],[Inflation Rate]])</f>
        <v>1</v>
      </c>
      <c r="N210" s="2" t="b">
        <f>ISNUMBER(Table145[[#This Row],[Cost of Living]])</f>
        <v>1</v>
      </c>
      <c r="O210" s="2"/>
      <c r="P210" s="2"/>
      <c r="Q210" s="2"/>
      <c r="R210" s="2"/>
      <c r="S210" s="2"/>
      <c r="T210" s="2"/>
      <c r="U210" s="2"/>
      <c r="V210" s="2"/>
      <c r="W210" s="2"/>
    </row>
    <row r="211" spans="1:23" x14ac:dyDescent="0.35">
      <c r="A211" s="2" t="s">
        <v>993</v>
      </c>
      <c r="B211" s="2" t="s">
        <v>2</v>
      </c>
      <c r="C211" s="2" t="s">
        <v>3</v>
      </c>
      <c r="D211" s="2" t="s">
        <v>994</v>
      </c>
      <c r="E211" s="2" t="s">
        <v>995</v>
      </c>
      <c r="F211" s="2" t="s">
        <v>996</v>
      </c>
      <c r="G211" s="2"/>
      <c r="H211" s="2"/>
      <c r="I211" s="2"/>
      <c r="J211" s="2"/>
      <c r="K211" s="2">
        <f>IFERROR(VALUE(Table145[[#This Row],[Inflation Annual Pct]])," ")</f>
        <v>0</v>
      </c>
      <c r="L211" s="2">
        <f>IFERROR(VALUE(Table145[[#This Row],[Cost of Living ]])," ")</f>
        <v>0</v>
      </c>
      <c r="M211" s="2" t="b">
        <f>ISNUMBER(Table145[[#This Row],[Inflation Rate]])</f>
        <v>1</v>
      </c>
      <c r="N211" s="2" t="b">
        <f>ISNUMBER(Table145[[#This Row],[Cost of Living]])</f>
        <v>1</v>
      </c>
      <c r="O211" s="2"/>
      <c r="P211" s="2"/>
      <c r="Q211" s="2"/>
      <c r="R211" s="2"/>
      <c r="S211" s="2"/>
      <c r="T211" s="2"/>
      <c r="U211" s="2"/>
      <c r="V211" s="2"/>
      <c r="W211" s="2"/>
    </row>
    <row r="212" spans="1:23" x14ac:dyDescent="0.35">
      <c r="A212" s="2" t="s">
        <v>997</v>
      </c>
      <c r="B212" s="2" t="s">
        <v>48</v>
      </c>
      <c r="C212" s="2" t="s">
        <v>23</v>
      </c>
      <c r="D212" s="2" t="s">
        <v>998</v>
      </c>
      <c r="E212" s="2" t="s">
        <v>999</v>
      </c>
      <c r="F212" s="2" t="s">
        <v>1000</v>
      </c>
      <c r="G212" s="2" t="s">
        <v>1001</v>
      </c>
      <c r="H212" s="2">
        <v>2024</v>
      </c>
      <c r="I212" s="2">
        <v>3.6210927388584402</v>
      </c>
      <c r="J212" s="2"/>
      <c r="K212" s="2">
        <f>IFERROR(VALUE(Table145[[#This Row],[Inflation Annual Pct]])," ")</f>
        <v>3.6210927388584402</v>
      </c>
      <c r="L212" s="2">
        <f>IFERROR(VALUE(Table145[[#This Row],[Cost of Living ]])," ")</f>
        <v>0</v>
      </c>
      <c r="M212" s="2" t="b">
        <f>ISNUMBER(Table145[[#This Row],[Inflation Rate]])</f>
        <v>1</v>
      </c>
      <c r="N212" s="2" t="b">
        <f>ISNUMBER(Table145[[#This Row],[Cost of Living]])</f>
        <v>1</v>
      </c>
      <c r="O212" s="2"/>
      <c r="P212" s="2"/>
      <c r="Q212" s="2"/>
      <c r="R212" s="2"/>
      <c r="S212" s="2"/>
      <c r="T212" s="2"/>
      <c r="U212" s="2"/>
      <c r="V212" s="2"/>
      <c r="W212" s="2"/>
    </row>
    <row r="213" spans="1:23" x14ac:dyDescent="0.35">
      <c r="A213" s="2" t="s">
        <v>1002</v>
      </c>
      <c r="B213" s="2" t="s">
        <v>48</v>
      </c>
      <c r="C213" s="2" t="s">
        <v>16</v>
      </c>
      <c r="D213" s="2" t="s">
        <v>1003</v>
      </c>
      <c r="E213" s="2" t="s">
        <v>1004</v>
      </c>
      <c r="F213" s="2" t="s">
        <v>1005</v>
      </c>
      <c r="G213" s="2" t="s">
        <v>1006</v>
      </c>
      <c r="H213" s="2">
        <v>2024</v>
      </c>
      <c r="I213" s="2">
        <v>1.1434894872741199</v>
      </c>
      <c r="J213" s="2"/>
      <c r="K213" s="2">
        <f>IFERROR(VALUE(Table145[[#This Row],[Inflation Annual Pct]])," ")</f>
        <v>1.1434894872741199</v>
      </c>
      <c r="L213" s="2">
        <f>IFERROR(VALUE(Table145[[#This Row],[Cost of Living ]])," ")</f>
        <v>0</v>
      </c>
      <c r="M213" s="2" t="b">
        <f>ISNUMBER(Table145[[#This Row],[Inflation Rate]])</f>
        <v>1</v>
      </c>
      <c r="N213" s="2" t="b">
        <f>ISNUMBER(Table145[[#This Row],[Cost of Living]])</f>
        <v>1</v>
      </c>
      <c r="O213" s="2"/>
      <c r="P213" s="2"/>
      <c r="Q213" s="2"/>
      <c r="R213" s="2"/>
      <c r="S213" s="2"/>
      <c r="T213" s="2"/>
      <c r="U213" s="2"/>
      <c r="V213" s="2"/>
      <c r="W213" s="2"/>
    </row>
    <row r="214" spans="1:23" x14ac:dyDescent="0.35">
      <c r="A214" s="2" t="s">
        <v>1007</v>
      </c>
      <c r="B214" s="2" t="s">
        <v>48</v>
      </c>
      <c r="C214" s="2" t="s">
        <v>23</v>
      </c>
      <c r="D214" s="2" t="s">
        <v>1008</v>
      </c>
      <c r="E214" s="2" t="s">
        <v>1009</v>
      </c>
      <c r="F214" s="2" t="s">
        <v>1010</v>
      </c>
      <c r="G214" s="2" t="s">
        <v>1011</v>
      </c>
      <c r="H214" s="2">
        <v>2024</v>
      </c>
      <c r="I214" s="2">
        <v>2.1724553051437701</v>
      </c>
      <c r="J214" s="2"/>
      <c r="K214" s="2">
        <f>IFERROR(VALUE(Table145[[#This Row],[Inflation Annual Pct]])," ")</f>
        <v>2.1724553051437701</v>
      </c>
      <c r="L214" s="2">
        <f>IFERROR(VALUE(Table145[[#This Row],[Cost of Living ]])," ")</f>
        <v>0</v>
      </c>
      <c r="M214" s="2" t="b">
        <f>ISNUMBER(Table145[[#This Row],[Inflation Rate]])</f>
        <v>1</v>
      </c>
      <c r="N214" s="2" t="b">
        <f>ISNUMBER(Table145[[#This Row],[Cost of Living]])</f>
        <v>1</v>
      </c>
      <c r="O214" s="2"/>
      <c r="P214" s="2"/>
      <c r="Q214" s="2"/>
      <c r="R214" s="2"/>
      <c r="S214" s="2"/>
      <c r="T214" s="2"/>
      <c r="U214" s="2"/>
      <c r="V214" s="2"/>
      <c r="W214" s="2"/>
    </row>
    <row r="215" spans="1:23" x14ac:dyDescent="0.35">
      <c r="A215" s="2" t="s">
        <v>1012</v>
      </c>
      <c r="B215" s="2" t="s">
        <v>22</v>
      </c>
      <c r="C215" s="2" t="s">
        <v>23</v>
      </c>
      <c r="D215" s="2" t="s">
        <v>1013</v>
      </c>
      <c r="E215" s="2" t="s">
        <v>1014</v>
      </c>
      <c r="F215" s="2" t="s">
        <v>1015</v>
      </c>
      <c r="G215" s="2" t="s">
        <v>1016</v>
      </c>
      <c r="H215" s="2">
        <v>2024</v>
      </c>
      <c r="I215" s="2">
        <v>1.61944994559476</v>
      </c>
      <c r="J215" s="2"/>
      <c r="K215" s="2">
        <f>IFERROR(VALUE(Table145[[#This Row],[Inflation Annual Pct]])," ")</f>
        <v>1.61944994559476</v>
      </c>
      <c r="L215" s="2">
        <f>IFERROR(VALUE(Table145[[#This Row],[Cost of Living ]])," ")</f>
        <v>0</v>
      </c>
      <c r="M215" s="2" t="b">
        <f>ISNUMBER(Table145[[#This Row],[Inflation Rate]])</f>
        <v>1</v>
      </c>
      <c r="N215" s="2" t="b">
        <f>ISNUMBER(Table145[[#This Row],[Cost of Living]])</f>
        <v>1</v>
      </c>
      <c r="O215" s="2"/>
      <c r="P215" s="2"/>
      <c r="Q215" s="2"/>
      <c r="R215" s="2"/>
      <c r="S215" s="2"/>
      <c r="T215" s="2"/>
      <c r="U215" s="2"/>
      <c r="V215" s="2"/>
      <c r="W215" s="2"/>
    </row>
    <row r="216" spans="1:23" x14ac:dyDescent="0.35">
      <c r="A216" s="2" t="s">
        <v>1017</v>
      </c>
      <c r="B216" s="2" t="s">
        <v>8</v>
      </c>
      <c r="C216" s="2" t="s">
        <v>9</v>
      </c>
      <c r="D216" s="2" t="s">
        <v>1018</v>
      </c>
      <c r="E216" s="2" t="s">
        <v>1019</v>
      </c>
      <c r="F216" s="2" t="s">
        <v>1020</v>
      </c>
      <c r="G216" s="2"/>
      <c r="H216" s="2"/>
      <c r="I216" s="2"/>
      <c r="J216" s="2"/>
      <c r="K216" s="2">
        <f>IFERROR(VALUE(Table145[[#This Row],[Inflation Annual Pct]])," ")</f>
        <v>0</v>
      </c>
      <c r="L216" s="2">
        <f>IFERROR(VALUE(Table145[[#This Row],[Cost of Living ]])," ")</f>
        <v>0</v>
      </c>
      <c r="M216" s="2" t="b">
        <f>ISNUMBER(Table145[[#This Row],[Inflation Rate]])</f>
        <v>1</v>
      </c>
      <c r="N216" s="2" t="b">
        <f>ISNUMBER(Table145[[#This Row],[Cost of Living]])</f>
        <v>1</v>
      </c>
      <c r="O216" s="2"/>
      <c r="P216" s="2"/>
      <c r="Q216" s="2"/>
      <c r="R216" s="2"/>
      <c r="S216" s="2"/>
      <c r="T216" s="2"/>
      <c r="U216" s="2"/>
      <c r="V216" s="2"/>
      <c r="W216" s="2"/>
    </row>
    <row r="217" spans="1:23" x14ac:dyDescent="0.35">
      <c r="A217" s="2" t="s">
        <v>1026</v>
      </c>
      <c r="B217" s="2" t="s">
        <v>15</v>
      </c>
      <c r="C217" s="2" t="s">
        <v>16</v>
      </c>
      <c r="D217" s="2" t="s">
        <v>1027</v>
      </c>
      <c r="E217" s="2" t="s">
        <v>1028</v>
      </c>
      <c r="F217" s="2" t="s">
        <v>1029</v>
      </c>
      <c r="G217" s="2" t="s">
        <v>1030</v>
      </c>
      <c r="H217" s="2">
        <v>2024</v>
      </c>
      <c r="I217" s="2">
        <v>14.9856262747939</v>
      </c>
      <c r="J217" s="2"/>
      <c r="K217" s="2">
        <f>IFERROR(VALUE(Table145[[#This Row],[Inflation Annual Pct]])," ")</f>
        <v>14.9856262747939</v>
      </c>
      <c r="L217" s="2">
        <f>IFERROR(VALUE(Table145[[#This Row],[Cost of Living ]])," ")</f>
        <v>0</v>
      </c>
      <c r="M217" s="2" t="b">
        <f>ISNUMBER(Table145[[#This Row],[Inflation Rate]])</f>
        <v>1</v>
      </c>
      <c r="N217" s="2" t="b">
        <f>ISNUMBER(Table145[[#This Row],[Cost of Living]])</f>
        <v>1</v>
      </c>
      <c r="O217" s="2"/>
      <c r="P217" s="2"/>
      <c r="Q217" s="2"/>
      <c r="R217" s="2"/>
      <c r="S217" s="2"/>
      <c r="T217" s="2"/>
      <c r="U217" s="2"/>
      <c r="V217" s="2"/>
      <c r="W217" s="2"/>
    </row>
    <row r="218" spans="1:23" x14ac:dyDescent="0.35">
      <c r="A218" s="2" t="s">
        <v>1031</v>
      </c>
      <c r="B218" s="2" t="s">
        <v>15</v>
      </c>
      <c r="C218" s="2" t="s">
        <v>16</v>
      </c>
      <c r="D218" s="2" t="s">
        <v>1032</v>
      </c>
      <c r="E218" s="2" t="s">
        <v>1033</v>
      </c>
      <c r="F218" s="2" t="s">
        <v>1034</v>
      </c>
      <c r="G218" s="2" t="s">
        <v>1035</v>
      </c>
      <c r="H218" s="2">
        <v>2022</v>
      </c>
      <c r="I218" s="2">
        <v>104.70517062866701</v>
      </c>
      <c r="J218" s="2"/>
      <c r="K218" s="2">
        <f>IFERROR(VALUE(Table145[[#This Row],[Inflation Annual Pct]])," ")</f>
        <v>104.70517062866701</v>
      </c>
      <c r="L218" s="2">
        <f>IFERROR(VALUE(Table145[[#This Row],[Cost of Living ]])," ")</f>
        <v>0</v>
      </c>
      <c r="M218" s="2" t="b">
        <f>ISNUMBER(Table145[[#This Row],[Inflation Rate]])</f>
        <v>1</v>
      </c>
      <c r="N218" s="2" t="b">
        <f>ISNUMBER(Table145[[#This Row],[Cost of Living]])</f>
        <v>1</v>
      </c>
      <c r="O218" s="2"/>
      <c r="P218" s="2"/>
      <c r="Q218" s="2"/>
      <c r="R218" s="2"/>
      <c r="S218" s="2"/>
      <c r="T218" s="2"/>
      <c r="U218" s="2"/>
      <c r="V218" s="2"/>
      <c r="W218" s="2"/>
    </row>
    <row r="219" spans="1:23" x14ac:dyDescent="0.35">
      <c r="I219" s="20"/>
    </row>
    <row r="221" spans="1:23" x14ac:dyDescent="0.35">
      <c r="I221" t="b">
        <f>ISNUMBER(I3)</f>
        <v>1</v>
      </c>
    </row>
    <row r="222" spans="1:23" x14ac:dyDescent="0.35">
      <c r="I222" t="s">
        <v>1092</v>
      </c>
      <c r="J222">
        <f>RSQ(Table145[Inflation Rate],Table145[Cost of Living])</f>
        <v>1.0071512391230907E-2</v>
      </c>
    </row>
    <row r="223" spans="1:23" x14ac:dyDescent="0.35">
      <c r="I223" t="s">
        <v>1093</v>
      </c>
      <c r="J223" cm="1">
        <f t="array" ref="J223:J439">INTERCEPT(Table145[Inflation Rate],Table145[Cost of Living])+SLOPE(Table145[Inflation Rate],Table145[Cost of Living])*Table145[Cost of Living]</f>
        <v>0.37047101037562502</v>
      </c>
    </row>
    <row r="224" spans="1:23" x14ac:dyDescent="0.35">
      <c r="J224">
        <v>1.3702380588447438</v>
      </c>
    </row>
    <row r="225" spans="10:10" x14ac:dyDescent="0.35">
      <c r="J225">
        <v>1.4868775478328073</v>
      </c>
    </row>
    <row r="226" spans="10:10" x14ac:dyDescent="0.35">
      <c r="J226">
        <v>1.7118251337383592</v>
      </c>
    </row>
    <row r="227" spans="10:10" x14ac:dyDescent="0.35">
      <c r="J227">
        <v>1.9617668958556385</v>
      </c>
    </row>
    <row r="228" spans="10:10" x14ac:dyDescent="0.35">
      <c r="J228">
        <v>2.0367494244908224</v>
      </c>
    </row>
    <row r="229" spans="10:10" x14ac:dyDescent="0.35">
      <c r="J229">
        <v>2.0784063848437029</v>
      </c>
    </row>
    <row r="230" spans="10:10" x14ac:dyDescent="0.35">
      <c r="J230">
        <v>2.1950458738317655</v>
      </c>
    </row>
    <row r="231" spans="10:10" x14ac:dyDescent="0.35">
      <c r="J231">
        <v>2.2200400500434947</v>
      </c>
    </row>
    <row r="232" spans="10:10" x14ac:dyDescent="0.35">
      <c r="J232">
        <v>2.3283481469609821</v>
      </c>
    </row>
    <row r="233" spans="10:10" x14ac:dyDescent="0.35">
      <c r="J233">
        <v>2.4366562438784705</v>
      </c>
    </row>
    <row r="234" spans="10:10" x14ac:dyDescent="0.35">
      <c r="J234">
        <v>2.4866445963019252</v>
      </c>
    </row>
    <row r="235" spans="10:10" x14ac:dyDescent="0.35">
      <c r="J235">
        <v>2.5449643407959579</v>
      </c>
    </row>
    <row r="236" spans="10:10" x14ac:dyDescent="0.35">
      <c r="J236">
        <v>2.5782899090782623</v>
      </c>
    </row>
    <row r="237" spans="10:10" x14ac:dyDescent="0.35">
      <c r="J237">
        <v>2.6032840852899897</v>
      </c>
    </row>
    <row r="238" spans="10:10" x14ac:dyDescent="0.35">
      <c r="J238">
        <v>2.7115921822074771</v>
      </c>
    </row>
    <row r="239" spans="10:10" x14ac:dyDescent="0.35">
      <c r="J239">
        <v>2.778243318772085</v>
      </c>
    </row>
    <row r="240" spans="10:10" x14ac:dyDescent="0.35">
      <c r="J240">
        <v>2.7949061029132372</v>
      </c>
    </row>
    <row r="241" spans="10:10" x14ac:dyDescent="0.35">
      <c r="J241">
        <v>2.8282316711955415</v>
      </c>
    </row>
    <row r="242" spans="10:10" x14ac:dyDescent="0.35">
      <c r="J242">
        <v>2.8282316711955415</v>
      </c>
    </row>
    <row r="243" spans="10:10" x14ac:dyDescent="0.35">
      <c r="J243">
        <v>2.8865514156895742</v>
      </c>
    </row>
    <row r="244" spans="10:10" x14ac:dyDescent="0.35">
      <c r="J244">
        <v>2.9615339443247573</v>
      </c>
    </row>
    <row r="245" spans="10:10" x14ac:dyDescent="0.35">
      <c r="J245">
        <v>3.019853688818789</v>
      </c>
    </row>
    <row r="246" spans="10:10" x14ac:dyDescent="0.35">
      <c r="J246">
        <v>3.1614873540185808</v>
      </c>
    </row>
    <row r="247" spans="10:10" x14ac:dyDescent="0.35">
      <c r="J247">
        <v>3.3781035478535566</v>
      </c>
    </row>
    <row r="248" spans="10:10" x14ac:dyDescent="0.35">
      <c r="J248">
        <v>3.4697488606298927</v>
      </c>
    </row>
    <row r="249" spans="10:10" x14ac:dyDescent="0.35">
      <c r="J249">
        <v>3.494743036841621</v>
      </c>
    </row>
    <row r="250" spans="10:10" x14ac:dyDescent="0.35">
      <c r="J250">
        <v>3.5780569575473811</v>
      </c>
    </row>
    <row r="251" spans="10:10" x14ac:dyDescent="0.35">
      <c r="J251">
        <v>3.6280453099708359</v>
      </c>
    </row>
    <row r="252" spans="10:10" x14ac:dyDescent="0.35">
      <c r="J252">
        <v>3.7446847989589003</v>
      </c>
    </row>
    <row r="253" spans="10:10" x14ac:dyDescent="0.35">
      <c r="J253">
        <v>3.8279987196646603</v>
      </c>
    </row>
    <row r="254" spans="10:10" x14ac:dyDescent="0.35">
      <c r="J254">
        <v>3.9363068165821478</v>
      </c>
    </row>
    <row r="255" spans="10:10" x14ac:dyDescent="0.35">
      <c r="J255">
        <v>3.9446382086527239</v>
      </c>
    </row>
    <row r="256" spans="10:10" x14ac:dyDescent="0.35">
      <c r="J256">
        <v>4.0446149134996352</v>
      </c>
    </row>
    <row r="257" spans="10:10" x14ac:dyDescent="0.35">
      <c r="J257">
        <v>4.0446149134996352</v>
      </c>
    </row>
    <row r="258" spans="10:10" x14ac:dyDescent="0.35">
      <c r="J258">
        <v>4.0779404817819396</v>
      </c>
    </row>
    <row r="259" spans="10:10" x14ac:dyDescent="0.35">
      <c r="J259">
        <v>4.1612544024876996</v>
      </c>
    </row>
    <row r="260" spans="10:10" x14ac:dyDescent="0.35">
      <c r="J260">
        <v>4.1862485786994279</v>
      </c>
    </row>
    <row r="261" spans="10:10" x14ac:dyDescent="0.35">
      <c r="J261">
        <v>4.2695624994051879</v>
      </c>
    </row>
    <row r="262" spans="10:10" x14ac:dyDescent="0.35">
      <c r="J262">
        <v>4.2945566756169153</v>
      </c>
    </row>
    <row r="263" spans="10:10" x14ac:dyDescent="0.35">
      <c r="J263">
        <v>4.3862019883932515</v>
      </c>
    </row>
    <row r="264" spans="10:10" x14ac:dyDescent="0.35">
      <c r="J264">
        <v>4.6278123584399546</v>
      </c>
    </row>
    <row r="265" spans="10:10" x14ac:dyDescent="0.35">
      <c r="J265">
        <v>4.8277657681337782</v>
      </c>
    </row>
    <row r="266" spans="10:10" x14ac:dyDescent="0.35">
      <c r="J266">
        <v>4.9360738650512666</v>
      </c>
    </row>
    <row r="267" spans="10:10" x14ac:dyDescent="0.35">
      <c r="J267">
        <v>5.044381961968754</v>
      </c>
    </row>
    <row r="268" spans="10:10" x14ac:dyDescent="0.35">
      <c r="J268">
        <v>8.2269737329287818</v>
      </c>
    </row>
    <row r="269" spans="10:10" x14ac:dyDescent="0.35">
      <c r="J269">
        <v>8.2269737329287818</v>
      </c>
    </row>
    <row r="270" spans="10:10" x14ac:dyDescent="0.35">
      <c r="J270">
        <v>8.2269737329287818</v>
      </c>
    </row>
    <row r="271" spans="10:10" x14ac:dyDescent="0.35">
      <c r="J271">
        <v>8.2269737329287818</v>
      </c>
    </row>
    <row r="272" spans="10:10" x14ac:dyDescent="0.35">
      <c r="J272">
        <v>8.2269737329287818</v>
      </c>
    </row>
    <row r="273" spans="10:10" x14ac:dyDescent="0.35">
      <c r="J273">
        <v>8.2269737329287818</v>
      </c>
    </row>
    <row r="274" spans="10:10" x14ac:dyDescent="0.35">
      <c r="J274">
        <v>8.2269737329287818</v>
      </c>
    </row>
    <row r="275" spans="10:10" x14ac:dyDescent="0.35">
      <c r="J275">
        <v>8.2269737329287818</v>
      </c>
    </row>
    <row r="276" spans="10:10" x14ac:dyDescent="0.35">
      <c r="J276">
        <v>8.2269737329287818</v>
      </c>
    </row>
    <row r="277" spans="10:10" x14ac:dyDescent="0.35">
      <c r="J277">
        <v>8.2269737329287818</v>
      </c>
    </row>
    <row r="278" spans="10:10" x14ac:dyDescent="0.35">
      <c r="J278">
        <v>8.2269737329287818</v>
      </c>
    </row>
    <row r="279" spans="10:10" x14ac:dyDescent="0.35">
      <c r="J279">
        <v>8.2269737329287818</v>
      </c>
    </row>
    <row r="280" spans="10:10" x14ac:dyDescent="0.35">
      <c r="J280">
        <v>8.2269737329287818</v>
      </c>
    </row>
    <row r="281" spans="10:10" x14ac:dyDescent="0.35">
      <c r="J281">
        <v>8.2269737329287818</v>
      </c>
    </row>
    <row r="282" spans="10:10" x14ac:dyDescent="0.35">
      <c r="J282">
        <v>8.2269737329287818</v>
      </c>
    </row>
    <row r="283" spans="10:10" x14ac:dyDescent="0.35">
      <c r="J283">
        <v>8.2269737329287818</v>
      </c>
    </row>
    <row r="284" spans="10:10" x14ac:dyDescent="0.35">
      <c r="J284">
        <v>8.2269737329287818</v>
      </c>
    </row>
    <row r="285" spans="10:10" x14ac:dyDescent="0.35">
      <c r="J285">
        <v>8.2269737329287818</v>
      </c>
    </row>
    <row r="286" spans="10:10" x14ac:dyDescent="0.35">
      <c r="J286">
        <v>8.2269737329287818</v>
      </c>
    </row>
    <row r="287" spans="10:10" x14ac:dyDescent="0.35">
      <c r="J287">
        <v>8.2269737329287818</v>
      </c>
    </row>
    <row r="288" spans="10:10" x14ac:dyDescent="0.35">
      <c r="J288">
        <v>8.2269737329287818</v>
      </c>
    </row>
    <row r="289" spans="10:10" x14ac:dyDescent="0.35">
      <c r="J289">
        <v>8.2269737329287818</v>
      </c>
    </row>
    <row r="290" spans="10:10" x14ac:dyDescent="0.35">
      <c r="J290">
        <v>8.2269737329287818</v>
      </c>
    </row>
    <row r="291" spans="10:10" x14ac:dyDescent="0.35">
      <c r="J291">
        <v>8.2269737329287818</v>
      </c>
    </row>
    <row r="292" spans="10:10" x14ac:dyDescent="0.35">
      <c r="J292">
        <v>8.2269737329287818</v>
      </c>
    </row>
    <row r="293" spans="10:10" x14ac:dyDescent="0.35">
      <c r="J293">
        <v>8.2269737329287818</v>
      </c>
    </row>
    <row r="294" spans="10:10" x14ac:dyDescent="0.35">
      <c r="J294">
        <v>8.2269737329287818</v>
      </c>
    </row>
    <row r="295" spans="10:10" x14ac:dyDescent="0.35">
      <c r="J295">
        <v>8.2269737329287818</v>
      </c>
    </row>
    <row r="296" spans="10:10" x14ac:dyDescent="0.35">
      <c r="J296">
        <v>8.2269737329287818</v>
      </c>
    </row>
    <row r="297" spans="10:10" x14ac:dyDescent="0.35">
      <c r="J297">
        <v>8.2269737329287818</v>
      </c>
    </row>
    <row r="298" spans="10:10" x14ac:dyDescent="0.35">
      <c r="J298">
        <v>8.2269737329287818</v>
      </c>
    </row>
    <row r="299" spans="10:10" x14ac:dyDescent="0.35">
      <c r="J299">
        <v>8.2269737329287818</v>
      </c>
    </row>
    <row r="300" spans="10:10" x14ac:dyDescent="0.35">
      <c r="J300">
        <v>8.2269737329287818</v>
      </c>
    </row>
    <row r="301" spans="10:10" x14ac:dyDescent="0.35">
      <c r="J301">
        <v>8.2269737329287818</v>
      </c>
    </row>
    <row r="302" spans="10:10" x14ac:dyDescent="0.35">
      <c r="J302">
        <v>8.2269737329287818</v>
      </c>
    </row>
    <row r="303" spans="10:10" x14ac:dyDescent="0.35">
      <c r="J303">
        <v>8.2269737329287818</v>
      </c>
    </row>
    <row r="304" spans="10:10" x14ac:dyDescent="0.35">
      <c r="J304">
        <v>8.2269737329287818</v>
      </c>
    </row>
    <row r="305" spans="10:10" x14ac:dyDescent="0.35">
      <c r="J305">
        <v>8.2269737329287818</v>
      </c>
    </row>
    <row r="306" spans="10:10" x14ac:dyDescent="0.35">
      <c r="J306">
        <v>8.2269737329287818</v>
      </c>
    </row>
    <row r="307" spans="10:10" x14ac:dyDescent="0.35">
      <c r="J307">
        <v>8.2269737329287818</v>
      </c>
    </row>
    <row r="308" spans="10:10" x14ac:dyDescent="0.35">
      <c r="J308">
        <v>8.2269737329287818</v>
      </c>
    </row>
    <row r="309" spans="10:10" x14ac:dyDescent="0.35">
      <c r="J309">
        <v>8.2269737329287818</v>
      </c>
    </row>
    <row r="310" spans="10:10" x14ac:dyDescent="0.35">
      <c r="J310">
        <v>8.2269737329287818</v>
      </c>
    </row>
    <row r="311" spans="10:10" x14ac:dyDescent="0.35">
      <c r="J311">
        <v>8.2269737329287818</v>
      </c>
    </row>
    <row r="312" spans="10:10" x14ac:dyDescent="0.35">
      <c r="J312">
        <v>8.2269737329287818</v>
      </c>
    </row>
    <row r="313" spans="10:10" x14ac:dyDescent="0.35">
      <c r="J313">
        <v>8.2269737329287818</v>
      </c>
    </row>
    <row r="314" spans="10:10" x14ac:dyDescent="0.35">
      <c r="J314">
        <v>8.2269737329287818</v>
      </c>
    </row>
    <row r="315" spans="10:10" x14ac:dyDescent="0.35">
      <c r="J315">
        <v>8.2269737329287818</v>
      </c>
    </row>
    <row r="316" spans="10:10" x14ac:dyDescent="0.35">
      <c r="J316">
        <v>8.2269737329287818</v>
      </c>
    </row>
    <row r="317" spans="10:10" x14ac:dyDescent="0.35">
      <c r="J317">
        <v>8.2269737329287818</v>
      </c>
    </row>
    <row r="318" spans="10:10" x14ac:dyDescent="0.35">
      <c r="J318">
        <v>8.2269737329287818</v>
      </c>
    </row>
    <row r="319" spans="10:10" x14ac:dyDescent="0.35">
      <c r="J319">
        <v>8.2269737329287818</v>
      </c>
    </row>
    <row r="320" spans="10:10" x14ac:dyDescent="0.35">
      <c r="J320">
        <v>8.2269737329287818</v>
      </c>
    </row>
    <row r="321" spans="10:10" x14ac:dyDescent="0.35">
      <c r="J321">
        <v>8.2269737329287818</v>
      </c>
    </row>
    <row r="322" spans="10:10" x14ac:dyDescent="0.35">
      <c r="J322">
        <v>8.2269737329287818</v>
      </c>
    </row>
    <row r="323" spans="10:10" x14ac:dyDescent="0.35">
      <c r="J323">
        <v>8.2269737329287818</v>
      </c>
    </row>
    <row r="324" spans="10:10" x14ac:dyDescent="0.35">
      <c r="J324">
        <v>8.2269737329287818</v>
      </c>
    </row>
    <row r="325" spans="10:10" x14ac:dyDescent="0.35">
      <c r="J325">
        <v>8.2269737329287818</v>
      </c>
    </row>
    <row r="326" spans="10:10" x14ac:dyDescent="0.35">
      <c r="J326">
        <v>8.2269737329287818</v>
      </c>
    </row>
    <row r="327" spans="10:10" x14ac:dyDescent="0.35">
      <c r="J327">
        <v>8.2269737329287818</v>
      </c>
    </row>
    <row r="328" spans="10:10" x14ac:dyDescent="0.35">
      <c r="J328">
        <v>8.2269737329287818</v>
      </c>
    </row>
    <row r="329" spans="10:10" x14ac:dyDescent="0.35">
      <c r="J329">
        <v>8.2269737329287818</v>
      </c>
    </row>
    <row r="330" spans="10:10" x14ac:dyDescent="0.35">
      <c r="J330">
        <v>8.2269737329287818</v>
      </c>
    </row>
    <row r="331" spans="10:10" x14ac:dyDescent="0.35">
      <c r="J331">
        <v>8.2269737329287818</v>
      </c>
    </row>
    <row r="332" spans="10:10" x14ac:dyDescent="0.35">
      <c r="J332">
        <v>8.2269737329287818</v>
      </c>
    </row>
    <row r="333" spans="10:10" x14ac:dyDescent="0.35">
      <c r="J333">
        <v>8.2269737329287818</v>
      </c>
    </row>
    <row r="334" spans="10:10" x14ac:dyDescent="0.35">
      <c r="J334">
        <v>8.2269737329287818</v>
      </c>
    </row>
    <row r="335" spans="10:10" x14ac:dyDescent="0.35">
      <c r="J335">
        <v>8.2269737329287818</v>
      </c>
    </row>
    <row r="336" spans="10:10" x14ac:dyDescent="0.35">
      <c r="J336">
        <v>8.2269737329287818</v>
      </c>
    </row>
    <row r="337" spans="10:10" x14ac:dyDescent="0.35">
      <c r="J337">
        <v>8.2269737329287818</v>
      </c>
    </row>
    <row r="338" spans="10:10" x14ac:dyDescent="0.35">
      <c r="J338">
        <v>8.2269737329287818</v>
      </c>
    </row>
    <row r="339" spans="10:10" x14ac:dyDescent="0.35">
      <c r="J339">
        <v>8.2269737329287818</v>
      </c>
    </row>
    <row r="340" spans="10:10" x14ac:dyDescent="0.35">
      <c r="J340">
        <v>8.2269737329287818</v>
      </c>
    </row>
    <row r="341" spans="10:10" x14ac:dyDescent="0.35">
      <c r="J341">
        <v>8.2269737329287818</v>
      </c>
    </row>
    <row r="342" spans="10:10" x14ac:dyDescent="0.35">
      <c r="J342">
        <v>8.2269737329287818</v>
      </c>
    </row>
    <row r="343" spans="10:10" x14ac:dyDescent="0.35">
      <c r="J343">
        <v>8.2269737329287818</v>
      </c>
    </row>
    <row r="344" spans="10:10" x14ac:dyDescent="0.35">
      <c r="J344">
        <v>8.2269737329287818</v>
      </c>
    </row>
    <row r="345" spans="10:10" x14ac:dyDescent="0.35">
      <c r="J345">
        <v>8.2269737329287818</v>
      </c>
    </row>
    <row r="346" spans="10:10" x14ac:dyDescent="0.35">
      <c r="J346">
        <v>8.2269737329287818</v>
      </c>
    </row>
    <row r="347" spans="10:10" x14ac:dyDescent="0.35">
      <c r="J347">
        <v>8.2269737329287818</v>
      </c>
    </row>
    <row r="348" spans="10:10" x14ac:dyDescent="0.35">
      <c r="J348">
        <v>8.2269737329287818</v>
      </c>
    </row>
    <row r="349" spans="10:10" x14ac:dyDescent="0.35">
      <c r="J349">
        <v>8.2269737329287818</v>
      </c>
    </row>
    <row r="350" spans="10:10" x14ac:dyDescent="0.35">
      <c r="J350">
        <v>8.2269737329287818</v>
      </c>
    </row>
    <row r="351" spans="10:10" x14ac:dyDescent="0.35">
      <c r="J351">
        <v>8.2269737329287818</v>
      </c>
    </row>
    <row r="352" spans="10:10" x14ac:dyDescent="0.35">
      <c r="J352">
        <v>8.2269737329287818</v>
      </c>
    </row>
    <row r="353" spans="10:10" x14ac:dyDescent="0.35">
      <c r="J353">
        <v>8.2269737329287818</v>
      </c>
    </row>
    <row r="354" spans="10:10" x14ac:dyDescent="0.35">
      <c r="J354">
        <v>8.2269737329287818</v>
      </c>
    </row>
    <row r="355" spans="10:10" x14ac:dyDescent="0.35">
      <c r="J355">
        <v>8.2269737329287818</v>
      </c>
    </row>
    <row r="356" spans="10:10" x14ac:dyDescent="0.35">
      <c r="J356">
        <v>8.2269737329287818</v>
      </c>
    </row>
    <row r="357" spans="10:10" x14ac:dyDescent="0.35">
      <c r="J357">
        <v>8.2269737329287818</v>
      </c>
    </row>
    <row r="358" spans="10:10" x14ac:dyDescent="0.35">
      <c r="J358">
        <v>8.2269737329287818</v>
      </c>
    </row>
    <row r="359" spans="10:10" x14ac:dyDescent="0.35">
      <c r="J359">
        <v>8.2269737329287818</v>
      </c>
    </row>
    <row r="360" spans="10:10" x14ac:dyDescent="0.35">
      <c r="J360">
        <v>8.2269737329287818</v>
      </c>
    </row>
    <row r="361" spans="10:10" x14ac:dyDescent="0.35">
      <c r="J361">
        <v>8.2269737329287818</v>
      </c>
    </row>
    <row r="362" spans="10:10" x14ac:dyDescent="0.35">
      <c r="J362">
        <v>8.2269737329287818</v>
      </c>
    </row>
    <row r="363" spans="10:10" x14ac:dyDescent="0.35">
      <c r="J363">
        <v>8.2269737329287818</v>
      </c>
    </row>
    <row r="364" spans="10:10" x14ac:dyDescent="0.35">
      <c r="J364">
        <v>8.2269737329287818</v>
      </c>
    </row>
    <row r="365" spans="10:10" x14ac:dyDescent="0.35">
      <c r="J365">
        <v>8.2269737329287818</v>
      </c>
    </row>
    <row r="366" spans="10:10" x14ac:dyDescent="0.35">
      <c r="J366">
        <v>8.2269737329287818</v>
      </c>
    </row>
    <row r="367" spans="10:10" x14ac:dyDescent="0.35">
      <c r="J367">
        <v>8.2269737329287818</v>
      </c>
    </row>
    <row r="368" spans="10:10" x14ac:dyDescent="0.35">
      <c r="J368">
        <v>8.2269737329287818</v>
      </c>
    </row>
    <row r="369" spans="10:10" x14ac:dyDescent="0.35">
      <c r="J369">
        <v>8.2269737329287818</v>
      </c>
    </row>
    <row r="370" spans="10:10" x14ac:dyDescent="0.35">
      <c r="J370">
        <v>8.2269737329287818</v>
      </c>
    </row>
    <row r="371" spans="10:10" x14ac:dyDescent="0.35">
      <c r="J371">
        <v>8.2269737329287818</v>
      </c>
    </row>
    <row r="372" spans="10:10" x14ac:dyDescent="0.35">
      <c r="J372">
        <v>8.2269737329287818</v>
      </c>
    </row>
    <row r="373" spans="10:10" x14ac:dyDescent="0.35">
      <c r="J373">
        <v>8.2269737329287818</v>
      </c>
    </row>
    <row r="374" spans="10:10" x14ac:dyDescent="0.35">
      <c r="J374">
        <v>8.2269737329287818</v>
      </c>
    </row>
    <row r="375" spans="10:10" x14ac:dyDescent="0.35">
      <c r="J375">
        <v>8.2269737329287818</v>
      </c>
    </row>
    <row r="376" spans="10:10" x14ac:dyDescent="0.35">
      <c r="J376">
        <v>8.2269737329287818</v>
      </c>
    </row>
    <row r="377" spans="10:10" x14ac:dyDescent="0.35">
      <c r="J377">
        <v>8.2269737329287818</v>
      </c>
    </row>
    <row r="378" spans="10:10" x14ac:dyDescent="0.35">
      <c r="J378">
        <v>8.2269737329287818</v>
      </c>
    </row>
    <row r="379" spans="10:10" x14ac:dyDescent="0.35">
      <c r="J379">
        <v>8.2269737329287818</v>
      </c>
    </row>
    <row r="380" spans="10:10" x14ac:dyDescent="0.35">
      <c r="J380">
        <v>8.2269737329287818</v>
      </c>
    </row>
    <row r="381" spans="10:10" x14ac:dyDescent="0.35">
      <c r="J381">
        <v>8.2269737329287818</v>
      </c>
    </row>
    <row r="382" spans="10:10" x14ac:dyDescent="0.35">
      <c r="J382">
        <v>8.2269737329287818</v>
      </c>
    </row>
    <row r="383" spans="10:10" x14ac:dyDescent="0.35">
      <c r="J383">
        <v>8.2269737329287818</v>
      </c>
    </row>
    <row r="384" spans="10:10" x14ac:dyDescent="0.35">
      <c r="J384">
        <v>8.2269737329287818</v>
      </c>
    </row>
    <row r="385" spans="10:10" x14ac:dyDescent="0.35">
      <c r="J385">
        <v>8.2269737329287818</v>
      </c>
    </row>
    <row r="386" spans="10:10" x14ac:dyDescent="0.35">
      <c r="J386">
        <v>8.2269737329287818</v>
      </c>
    </row>
    <row r="387" spans="10:10" x14ac:dyDescent="0.35">
      <c r="J387">
        <v>8.2269737329287818</v>
      </c>
    </row>
    <row r="388" spans="10:10" x14ac:dyDescent="0.35">
      <c r="J388">
        <v>8.2269737329287818</v>
      </c>
    </row>
    <row r="389" spans="10:10" x14ac:dyDescent="0.35">
      <c r="J389">
        <v>8.2269737329287818</v>
      </c>
    </row>
    <row r="390" spans="10:10" x14ac:dyDescent="0.35">
      <c r="J390">
        <v>8.2269737329287818</v>
      </c>
    </row>
    <row r="391" spans="10:10" x14ac:dyDescent="0.35">
      <c r="J391">
        <v>8.2269737329287818</v>
      </c>
    </row>
    <row r="392" spans="10:10" x14ac:dyDescent="0.35">
      <c r="J392">
        <v>8.2269737329287818</v>
      </c>
    </row>
    <row r="393" spans="10:10" x14ac:dyDescent="0.35">
      <c r="J393">
        <v>8.2269737329287818</v>
      </c>
    </row>
    <row r="394" spans="10:10" x14ac:dyDescent="0.35">
      <c r="J394">
        <v>8.2269737329287818</v>
      </c>
    </row>
    <row r="395" spans="10:10" x14ac:dyDescent="0.35">
      <c r="J395">
        <v>8.2269737329287818</v>
      </c>
    </row>
    <row r="396" spans="10:10" x14ac:dyDescent="0.35">
      <c r="J396">
        <v>8.2269737329287818</v>
      </c>
    </row>
    <row r="397" spans="10:10" x14ac:dyDescent="0.35">
      <c r="J397">
        <v>8.2269737329287818</v>
      </c>
    </row>
    <row r="398" spans="10:10" x14ac:dyDescent="0.35">
      <c r="J398">
        <v>8.2269737329287818</v>
      </c>
    </row>
    <row r="399" spans="10:10" x14ac:dyDescent="0.35">
      <c r="J399">
        <v>8.2269737329287818</v>
      </c>
    </row>
    <row r="400" spans="10:10" x14ac:dyDescent="0.35">
      <c r="J400">
        <v>8.2269737329287818</v>
      </c>
    </row>
    <row r="401" spans="10:10" x14ac:dyDescent="0.35">
      <c r="J401">
        <v>8.2269737329287818</v>
      </c>
    </row>
    <row r="402" spans="10:10" x14ac:dyDescent="0.35">
      <c r="J402">
        <v>8.2269737329287818</v>
      </c>
    </row>
    <row r="403" spans="10:10" x14ac:dyDescent="0.35">
      <c r="J403">
        <v>8.2269737329287818</v>
      </c>
    </row>
    <row r="404" spans="10:10" x14ac:dyDescent="0.35">
      <c r="J404">
        <v>8.2269737329287818</v>
      </c>
    </row>
    <row r="405" spans="10:10" x14ac:dyDescent="0.35">
      <c r="J405">
        <v>8.2269737329287818</v>
      </c>
    </row>
    <row r="406" spans="10:10" x14ac:dyDescent="0.35">
      <c r="J406">
        <v>8.2269737329287818</v>
      </c>
    </row>
    <row r="407" spans="10:10" x14ac:dyDescent="0.35">
      <c r="J407">
        <v>8.2269737329287818</v>
      </c>
    </row>
    <row r="408" spans="10:10" x14ac:dyDescent="0.35">
      <c r="J408">
        <v>8.2269737329287818</v>
      </c>
    </row>
    <row r="409" spans="10:10" x14ac:dyDescent="0.35">
      <c r="J409">
        <v>8.2269737329287818</v>
      </c>
    </row>
    <row r="410" spans="10:10" x14ac:dyDescent="0.35">
      <c r="J410">
        <v>8.2269737329287818</v>
      </c>
    </row>
    <row r="411" spans="10:10" x14ac:dyDescent="0.35">
      <c r="J411">
        <v>8.2269737329287818</v>
      </c>
    </row>
    <row r="412" spans="10:10" x14ac:dyDescent="0.35">
      <c r="J412">
        <v>8.2269737329287818</v>
      </c>
    </row>
    <row r="413" spans="10:10" x14ac:dyDescent="0.35">
      <c r="J413">
        <v>8.2269737329287818</v>
      </c>
    </row>
    <row r="414" spans="10:10" x14ac:dyDescent="0.35">
      <c r="J414">
        <v>8.2269737329287818</v>
      </c>
    </row>
    <row r="415" spans="10:10" x14ac:dyDescent="0.35">
      <c r="J415">
        <v>8.2269737329287818</v>
      </c>
    </row>
    <row r="416" spans="10:10" x14ac:dyDescent="0.35">
      <c r="J416">
        <v>8.2269737329287818</v>
      </c>
    </row>
    <row r="417" spans="10:10" x14ac:dyDescent="0.35">
      <c r="J417">
        <v>8.2269737329287818</v>
      </c>
    </row>
    <row r="418" spans="10:10" x14ac:dyDescent="0.35">
      <c r="J418">
        <v>8.2269737329287818</v>
      </c>
    </row>
    <row r="419" spans="10:10" x14ac:dyDescent="0.35">
      <c r="J419">
        <v>8.2269737329287818</v>
      </c>
    </row>
    <row r="420" spans="10:10" x14ac:dyDescent="0.35">
      <c r="J420">
        <v>8.2269737329287818</v>
      </c>
    </row>
    <row r="421" spans="10:10" x14ac:dyDescent="0.35">
      <c r="J421">
        <v>8.2269737329287818</v>
      </c>
    </row>
    <row r="422" spans="10:10" x14ac:dyDescent="0.35">
      <c r="J422">
        <v>8.2269737329287818</v>
      </c>
    </row>
    <row r="423" spans="10:10" x14ac:dyDescent="0.35">
      <c r="J423">
        <v>8.2269737329287818</v>
      </c>
    </row>
    <row r="424" spans="10:10" x14ac:dyDescent="0.35">
      <c r="J424">
        <v>8.2269737329287818</v>
      </c>
    </row>
    <row r="425" spans="10:10" x14ac:dyDescent="0.35">
      <c r="J425">
        <v>8.2269737329287818</v>
      </c>
    </row>
    <row r="426" spans="10:10" x14ac:dyDescent="0.35">
      <c r="J426">
        <v>8.2269737329287818</v>
      </c>
    </row>
    <row r="427" spans="10:10" x14ac:dyDescent="0.35">
      <c r="J427">
        <v>8.2269737329287818</v>
      </c>
    </row>
    <row r="428" spans="10:10" x14ac:dyDescent="0.35">
      <c r="J428">
        <v>8.2269737329287818</v>
      </c>
    </row>
    <row r="429" spans="10:10" x14ac:dyDescent="0.35">
      <c r="J429">
        <v>8.2269737329287818</v>
      </c>
    </row>
    <row r="430" spans="10:10" x14ac:dyDescent="0.35">
      <c r="J430">
        <v>8.2269737329287818</v>
      </c>
    </row>
    <row r="431" spans="10:10" x14ac:dyDescent="0.35">
      <c r="J431">
        <v>8.2269737329287818</v>
      </c>
    </row>
    <row r="432" spans="10:10" x14ac:dyDescent="0.35">
      <c r="J432">
        <v>8.2269737329287818</v>
      </c>
    </row>
    <row r="433" spans="10:10" x14ac:dyDescent="0.35">
      <c r="J433">
        <v>8.2269737329287818</v>
      </c>
    </row>
    <row r="434" spans="10:10" x14ac:dyDescent="0.35">
      <c r="J434">
        <v>8.2269737329287818</v>
      </c>
    </row>
    <row r="435" spans="10:10" x14ac:dyDescent="0.35">
      <c r="J435">
        <v>8.2269737329287818</v>
      </c>
    </row>
    <row r="436" spans="10:10" x14ac:dyDescent="0.35">
      <c r="J436">
        <v>8.2269737329287818</v>
      </c>
    </row>
    <row r="437" spans="10:10" x14ac:dyDescent="0.35">
      <c r="J437">
        <v>8.2269737329287818</v>
      </c>
    </row>
    <row r="438" spans="10:10" x14ac:dyDescent="0.35">
      <c r="J438">
        <v>8.2269737329287818</v>
      </c>
    </row>
    <row r="439" spans="10:10" x14ac:dyDescent="0.35">
      <c r="J439">
        <v>8.2269737329287818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D328-C998-4797-952E-18E16E148510}">
  <dimension ref="A2:K11"/>
  <sheetViews>
    <sheetView workbookViewId="0">
      <selection activeCell="E9" sqref="E9"/>
    </sheetView>
  </sheetViews>
  <sheetFormatPr defaultRowHeight="14.5" x14ac:dyDescent="0.35"/>
  <cols>
    <col min="1" max="1" width="5.1796875" customWidth="1"/>
  </cols>
  <sheetData>
    <row r="2" spans="1:11" s="25" customFormat="1" ht="17.5" x14ac:dyDescent="0.35">
      <c r="A2" s="23"/>
      <c r="B2" s="24" t="s">
        <v>1102</v>
      </c>
    </row>
    <row r="4" spans="1:11" ht="15.5" x14ac:dyDescent="0.35">
      <c r="A4" s="26"/>
      <c r="B4" s="26"/>
      <c r="C4" s="27" t="s">
        <v>1101</v>
      </c>
      <c r="D4" s="28"/>
      <c r="E4" s="28"/>
      <c r="F4" s="26"/>
      <c r="G4" s="26"/>
      <c r="H4" s="26"/>
      <c r="I4" s="26"/>
      <c r="J4" s="26"/>
      <c r="K4" s="26"/>
    </row>
    <row r="5" spans="1:11" ht="20" customHeight="1" x14ac:dyDescent="0.35">
      <c r="A5" s="11">
        <v>1</v>
      </c>
      <c r="B5" s="22" t="s">
        <v>1095</v>
      </c>
    </row>
    <row r="6" spans="1:11" ht="20" customHeight="1" x14ac:dyDescent="0.35">
      <c r="A6" s="11">
        <v>2</v>
      </c>
      <c r="B6" s="22" t="s">
        <v>1096</v>
      </c>
    </row>
    <row r="7" spans="1:11" ht="20" customHeight="1" x14ac:dyDescent="0.35">
      <c r="A7" s="11">
        <v>3</v>
      </c>
      <c r="B7" s="22" t="s">
        <v>1098</v>
      </c>
    </row>
    <row r="8" spans="1:11" ht="20" customHeight="1" x14ac:dyDescent="0.35">
      <c r="A8" s="11">
        <v>4</v>
      </c>
      <c r="B8" s="22" t="s">
        <v>1097</v>
      </c>
    </row>
    <row r="9" spans="1:11" ht="20" customHeight="1" x14ac:dyDescent="0.35">
      <c r="A9" s="11">
        <v>5</v>
      </c>
      <c r="B9" s="22" t="s">
        <v>1100</v>
      </c>
    </row>
    <row r="10" spans="1:11" ht="20" customHeight="1" x14ac:dyDescent="0.35">
      <c r="A10" s="11">
        <v>6</v>
      </c>
      <c r="B10" s="22" t="s">
        <v>1099</v>
      </c>
    </row>
    <row r="11" spans="1:11" ht="20" customHeight="1" x14ac:dyDescent="0.3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7F57-4AE2-4FED-AACF-5DF737728AC7}">
  <dimension ref="A1:U218"/>
  <sheetViews>
    <sheetView topLeftCell="C1" workbookViewId="0">
      <selection activeCell="I1" sqref="I1:I1048576"/>
    </sheetView>
  </sheetViews>
  <sheetFormatPr defaultRowHeight="14.5" x14ac:dyDescent="0.35"/>
  <cols>
    <col min="1" max="1" width="26.7265625" bestFit="1" customWidth="1"/>
    <col min="2" max="2" width="42.26953125" bestFit="1" customWidth="1"/>
    <col min="3" max="3" width="18.90625" bestFit="1" customWidth="1"/>
    <col min="4" max="4" width="18.54296875" bestFit="1" customWidth="1"/>
    <col min="5" max="5" width="10.81640625" bestFit="1" customWidth="1"/>
    <col min="6" max="6" width="11.36328125" bestFit="1" customWidth="1"/>
    <col min="7" max="7" width="14.54296875" bestFit="1" customWidth="1"/>
    <col min="8" max="8" width="14.36328125" bestFit="1" customWidth="1"/>
    <col min="9" max="9" width="14.453125" bestFit="1" customWidth="1"/>
    <col min="10" max="10" width="19.36328125" bestFit="1" customWidth="1"/>
    <col min="11" max="11" width="21" hidden="1" customWidth="1"/>
    <col min="12" max="12" width="25" hidden="1" customWidth="1"/>
    <col min="13" max="13" width="7.453125" bestFit="1" customWidth="1"/>
    <col min="14" max="14" width="11.90625" bestFit="1" customWidth="1"/>
    <col min="15" max="15" width="13.6328125" bestFit="1" customWidth="1"/>
    <col min="16" max="16" width="18.08984375" bestFit="1" customWidth="1"/>
    <col min="17" max="17" width="17.26953125" bestFit="1" customWidth="1"/>
    <col min="18" max="18" width="23.54296875" bestFit="1" customWidth="1"/>
    <col min="19" max="19" width="28.54296875" bestFit="1" customWidth="1"/>
    <col min="20" max="20" width="18.81640625" bestFit="1" customWidth="1"/>
    <col min="21" max="21" width="21.36328125" bestFit="1" customWidth="1"/>
  </cols>
  <sheetData>
    <row r="1" spans="1:21" x14ac:dyDescent="0.35">
      <c r="A1" t="s">
        <v>1037</v>
      </c>
      <c r="B1" t="s">
        <v>1038</v>
      </c>
      <c r="C1" t="s">
        <v>1039</v>
      </c>
      <c r="D1" t="s">
        <v>1040</v>
      </c>
      <c r="E1" t="s">
        <v>1041</v>
      </c>
      <c r="F1" t="s">
        <v>1042</v>
      </c>
      <c r="G1" t="s">
        <v>1036</v>
      </c>
      <c r="H1" t="s">
        <v>1043</v>
      </c>
      <c r="I1" t="s">
        <v>1091</v>
      </c>
      <c r="J1" t="s">
        <v>1118</v>
      </c>
      <c r="K1" t="s">
        <v>1115</v>
      </c>
      <c r="L1" t="s">
        <v>1116</v>
      </c>
      <c r="M1" t="s">
        <v>1047</v>
      </c>
      <c r="N1" t="s">
        <v>1048</v>
      </c>
      <c r="O1" t="s">
        <v>1045</v>
      </c>
      <c r="P1" t="s">
        <v>1049</v>
      </c>
      <c r="Q1" t="s">
        <v>1052</v>
      </c>
      <c r="R1" t="s">
        <v>1051</v>
      </c>
      <c r="S1" t="s">
        <v>1050</v>
      </c>
      <c r="T1" t="s">
        <v>1053</v>
      </c>
      <c r="U1" t="s">
        <v>1054</v>
      </c>
    </row>
    <row r="2" spans="1:21" x14ac:dyDescent="0.35">
      <c r="A2" t="s">
        <v>234</v>
      </c>
      <c r="B2" t="s">
        <v>2</v>
      </c>
      <c r="C2" t="s">
        <v>3</v>
      </c>
      <c r="D2" t="s">
        <v>235</v>
      </c>
      <c r="E2">
        <v>19.302199999999999</v>
      </c>
      <c r="F2">
        <v>-81.3857</v>
      </c>
      <c r="I2">
        <v>0</v>
      </c>
      <c r="J2">
        <v>94.3</v>
      </c>
      <c r="K2" t="b">
        <v>1</v>
      </c>
      <c r="L2" t="b">
        <v>1</v>
      </c>
      <c r="M2">
        <v>60.2</v>
      </c>
      <c r="N2">
        <v>85.6</v>
      </c>
      <c r="O2">
        <v>92.1</v>
      </c>
      <c r="P2">
        <v>115.8</v>
      </c>
      <c r="Q2">
        <v>6.36</v>
      </c>
      <c r="T2">
        <v>2500</v>
      </c>
    </row>
    <row r="3" spans="1:21" x14ac:dyDescent="0.35">
      <c r="A3" t="s">
        <v>173</v>
      </c>
      <c r="B3" t="s">
        <v>22</v>
      </c>
      <c r="C3" t="s">
        <v>3</v>
      </c>
      <c r="D3" t="s">
        <v>174</v>
      </c>
      <c r="E3">
        <v>46.948</v>
      </c>
      <c r="F3">
        <v>7.4482100000000004</v>
      </c>
      <c r="G3" t="s">
        <v>177</v>
      </c>
      <c r="H3">
        <v>2024</v>
      </c>
      <c r="I3">
        <v>1.0623404197659501</v>
      </c>
      <c r="J3">
        <v>82.3</v>
      </c>
      <c r="K3" t="b">
        <v>1</v>
      </c>
      <c r="L3" t="b">
        <v>1</v>
      </c>
      <c r="M3">
        <v>50.1</v>
      </c>
      <c r="N3">
        <v>75.2</v>
      </c>
      <c r="O3">
        <v>88.4</v>
      </c>
      <c r="P3">
        <v>120.5</v>
      </c>
      <c r="Q3">
        <v>3.81</v>
      </c>
      <c r="R3">
        <v>6.36</v>
      </c>
      <c r="S3">
        <v>149.69999999999999</v>
      </c>
      <c r="T3">
        <v>1850</v>
      </c>
      <c r="U3">
        <v>220</v>
      </c>
    </row>
    <row r="4" spans="1:21" x14ac:dyDescent="0.35">
      <c r="A4" t="s">
        <v>817</v>
      </c>
      <c r="B4" t="s">
        <v>48</v>
      </c>
      <c r="C4" t="s">
        <v>3</v>
      </c>
      <c r="D4" t="s">
        <v>817</v>
      </c>
      <c r="E4">
        <v>1.2894099999999999</v>
      </c>
      <c r="F4">
        <v>103.85</v>
      </c>
      <c r="G4" t="s">
        <v>820</v>
      </c>
      <c r="H4">
        <v>2024</v>
      </c>
      <c r="I4">
        <v>2.3895112359501698</v>
      </c>
      <c r="J4">
        <v>80.900000000000006</v>
      </c>
      <c r="K4" t="b">
        <v>1</v>
      </c>
      <c r="L4" t="b">
        <v>1</v>
      </c>
      <c r="M4">
        <v>55.3</v>
      </c>
      <c r="N4">
        <v>70.099999999999994</v>
      </c>
      <c r="O4">
        <v>72.8</v>
      </c>
      <c r="P4">
        <v>95.2</v>
      </c>
      <c r="Q4">
        <v>3.05</v>
      </c>
      <c r="T4">
        <v>3167</v>
      </c>
      <c r="U4">
        <v>180</v>
      </c>
    </row>
    <row r="5" spans="1:21" x14ac:dyDescent="0.35">
      <c r="A5" t="s">
        <v>452</v>
      </c>
      <c r="B5" t="s">
        <v>22</v>
      </c>
      <c r="C5" t="s">
        <v>3</v>
      </c>
      <c r="D5" t="s">
        <v>453</v>
      </c>
      <c r="E5">
        <v>64.135300000000001</v>
      </c>
      <c r="F5">
        <v>-21.895199999999999</v>
      </c>
      <c r="G5" t="s">
        <v>456</v>
      </c>
      <c r="H5">
        <v>2024</v>
      </c>
      <c r="I5">
        <v>5.8568384997007197</v>
      </c>
      <c r="J5">
        <v>78.2</v>
      </c>
      <c r="K5" t="b">
        <v>1</v>
      </c>
      <c r="L5" t="b">
        <v>1</v>
      </c>
      <c r="M5">
        <v>45.6</v>
      </c>
      <c r="N5">
        <v>72.3</v>
      </c>
      <c r="O5">
        <v>82.1</v>
      </c>
      <c r="P5">
        <v>98.7</v>
      </c>
      <c r="Q5">
        <v>4.26</v>
      </c>
      <c r="R5">
        <v>7.94</v>
      </c>
      <c r="S5">
        <v>131.85</v>
      </c>
    </row>
    <row r="6" spans="1:21" x14ac:dyDescent="0.35">
      <c r="A6" t="s">
        <v>143</v>
      </c>
      <c r="B6" t="s">
        <v>2</v>
      </c>
      <c r="C6" t="s">
        <v>3</v>
      </c>
      <c r="D6" t="s">
        <v>144</v>
      </c>
      <c r="E6">
        <v>13.093500000000001</v>
      </c>
      <c r="F6">
        <v>-59.610500000000002</v>
      </c>
      <c r="G6" t="s">
        <v>147</v>
      </c>
      <c r="H6">
        <v>2024</v>
      </c>
      <c r="I6">
        <v>1.4464366430616</v>
      </c>
      <c r="J6">
        <v>75.2</v>
      </c>
      <c r="K6" t="b">
        <v>1</v>
      </c>
      <c r="L6" t="b">
        <v>1</v>
      </c>
      <c r="M6">
        <v>41.8</v>
      </c>
      <c r="N6">
        <v>70.8</v>
      </c>
      <c r="O6">
        <v>73.2</v>
      </c>
      <c r="P6">
        <v>88.5</v>
      </c>
      <c r="T6">
        <v>1200</v>
      </c>
    </row>
    <row r="7" spans="1:21" x14ac:dyDescent="0.35">
      <c r="A7" t="s">
        <v>970</v>
      </c>
      <c r="B7" t="s">
        <v>129</v>
      </c>
      <c r="C7" t="s">
        <v>3</v>
      </c>
      <c r="D7" t="s">
        <v>971</v>
      </c>
      <c r="E7">
        <v>38.889499999999998</v>
      </c>
      <c r="F7">
        <v>-77.031999999999996</v>
      </c>
      <c r="G7" t="s">
        <v>974</v>
      </c>
      <c r="H7">
        <v>2024</v>
      </c>
      <c r="I7">
        <v>2.9495252048520699</v>
      </c>
      <c r="J7">
        <v>74.3</v>
      </c>
      <c r="K7" t="b">
        <v>1</v>
      </c>
      <c r="L7" t="b">
        <v>1</v>
      </c>
      <c r="M7">
        <v>35.200000000000003</v>
      </c>
      <c r="N7">
        <v>68.5</v>
      </c>
      <c r="O7">
        <v>70.2</v>
      </c>
      <c r="P7">
        <v>100</v>
      </c>
      <c r="Q7">
        <v>3.65</v>
      </c>
      <c r="T7">
        <v>1603</v>
      </c>
      <c r="U7">
        <v>150</v>
      </c>
    </row>
    <row r="8" spans="1:21" x14ac:dyDescent="0.35">
      <c r="A8" t="s">
        <v>699</v>
      </c>
      <c r="B8" t="s">
        <v>22</v>
      </c>
      <c r="C8" t="s">
        <v>3</v>
      </c>
      <c r="D8" t="s">
        <v>700</v>
      </c>
      <c r="E8">
        <v>59.913800000000002</v>
      </c>
      <c r="F8">
        <v>10.7387</v>
      </c>
      <c r="G8" t="s">
        <v>703</v>
      </c>
      <c r="H8">
        <v>2024</v>
      </c>
      <c r="I8">
        <v>3.14530134431081</v>
      </c>
      <c r="J8">
        <v>73.8</v>
      </c>
      <c r="K8" t="b">
        <v>1</v>
      </c>
      <c r="L8" t="b">
        <v>1</v>
      </c>
      <c r="M8">
        <v>38.9</v>
      </c>
      <c r="N8">
        <v>69.8</v>
      </c>
      <c r="O8">
        <v>78.5</v>
      </c>
      <c r="P8">
        <v>105.3</v>
      </c>
      <c r="Q8">
        <v>3.52</v>
      </c>
      <c r="R8">
        <v>6.54</v>
      </c>
      <c r="S8">
        <v>145.19999999999999</v>
      </c>
    </row>
    <row r="9" spans="1:21" x14ac:dyDescent="0.35">
      <c r="A9" t="s">
        <v>32</v>
      </c>
      <c r="B9" t="s">
        <v>8</v>
      </c>
      <c r="C9" t="s">
        <v>3</v>
      </c>
      <c r="D9" t="s">
        <v>33</v>
      </c>
      <c r="E9">
        <v>24.476400000000002</v>
      </c>
      <c r="F9">
        <v>54.3705</v>
      </c>
      <c r="G9" t="s">
        <v>36</v>
      </c>
      <c r="H9">
        <v>2024</v>
      </c>
      <c r="I9">
        <v>1.66336510224894</v>
      </c>
      <c r="J9">
        <v>72.400000000000006</v>
      </c>
      <c r="K9" t="b">
        <v>1</v>
      </c>
      <c r="L9" t="b">
        <v>1</v>
      </c>
      <c r="M9">
        <v>34.200000000000003</v>
      </c>
      <c r="N9">
        <v>68.5</v>
      </c>
      <c r="O9">
        <v>70.8</v>
      </c>
      <c r="P9">
        <v>96.2</v>
      </c>
      <c r="T9">
        <v>1100</v>
      </c>
    </row>
    <row r="10" spans="1:21" x14ac:dyDescent="0.35">
      <c r="A10" t="s">
        <v>262</v>
      </c>
      <c r="B10" t="s">
        <v>22</v>
      </c>
      <c r="C10" t="s">
        <v>3</v>
      </c>
      <c r="D10" t="s">
        <v>263</v>
      </c>
      <c r="E10">
        <v>55.676299999999998</v>
      </c>
      <c r="F10">
        <v>12.568099999999999</v>
      </c>
      <c r="G10" t="s">
        <v>266</v>
      </c>
      <c r="H10">
        <v>2024</v>
      </c>
      <c r="I10">
        <v>1.3722004976892599</v>
      </c>
      <c r="J10">
        <v>72.099999999999994</v>
      </c>
      <c r="K10" t="b">
        <v>1</v>
      </c>
      <c r="L10" t="b">
        <v>1</v>
      </c>
      <c r="M10">
        <v>36.4</v>
      </c>
      <c r="N10">
        <v>67.2</v>
      </c>
      <c r="O10">
        <v>75.3</v>
      </c>
      <c r="P10">
        <v>102.8</v>
      </c>
      <c r="Q10">
        <v>3.48</v>
      </c>
      <c r="R10">
        <v>5.42</v>
      </c>
      <c r="S10">
        <v>128.5</v>
      </c>
    </row>
    <row r="11" spans="1:21" x14ac:dyDescent="0.35">
      <c r="A11" t="s">
        <v>782</v>
      </c>
      <c r="B11" t="s">
        <v>8</v>
      </c>
      <c r="C11" t="s">
        <v>3</v>
      </c>
      <c r="D11" t="s">
        <v>783</v>
      </c>
      <c r="E11">
        <v>25.294799999999999</v>
      </c>
      <c r="F11">
        <v>51.508200000000002</v>
      </c>
      <c r="G11" t="s">
        <v>786</v>
      </c>
      <c r="H11">
        <v>2024</v>
      </c>
      <c r="I11">
        <v>1.2673431029237501</v>
      </c>
      <c r="J11">
        <v>70.8</v>
      </c>
      <c r="K11" t="b">
        <v>1</v>
      </c>
      <c r="L11" t="b">
        <v>1</v>
      </c>
      <c r="M11">
        <v>31.5</v>
      </c>
      <c r="N11">
        <v>66.2</v>
      </c>
      <c r="O11">
        <v>68.5</v>
      </c>
      <c r="P11">
        <v>92.8</v>
      </c>
      <c r="T11">
        <v>900</v>
      </c>
    </row>
    <row r="12" spans="1:21" x14ac:dyDescent="0.35">
      <c r="A12" t="s">
        <v>57</v>
      </c>
      <c r="B12" t="s">
        <v>48</v>
      </c>
      <c r="C12" t="s">
        <v>3</v>
      </c>
      <c r="D12" t="s">
        <v>58</v>
      </c>
      <c r="E12">
        <v>-35.281999999999996</v>
      </c>
      <c r="F12">
        <v>149.12899999999999</v>
      </c>
      <c r="G12" t="s">
        <v>61</v>
      </c>
      <c r="H12">
        <v>2024</v>
      </c>
      <c r="I12">
        <v>3.16656665428797</v>
      </c>
      <c r="J12">
        <v>69.5</v>
      </c>
      <c r="K12" t="b">
        <v>1</v>
      </c>
      <c r="L12" t="b">
        <v>1</v>
      </c>
      <c r="M12">
        <v>32.799999999999997</v>
      </c>
      <c r="N12">
        <v>65.400000000000006</v>
      </c>
      <c r="O12">
        <v>68.900000000000006</v>
      </c>
      <c r="P12">
        <v>95.6</v>
      </c>
      <c r="Q12">
        <v>3.25</v>
      </c>
      <c r="T12">
        <v>1450</v>
      </c>
      <c r="U12">
        <v>140</v>
      </c>
    </row>
    <row r="13" spans="1:21" x14ac:dyDescent="0.35">
      <c r="A13" t="s">
        <v>437</v>
      </c>
      <c r="B13" t="s">
        <v>22</v>
      </c>
      <c r="C13" t="s">
        <v>3</v>
      </c>
      <c r="D13" t="s">
        <v>438</v>
      </c>
      <c r="E13">
        <v>53.344099999999997</v>
      </c>
      <c r="F13">
        <v>-6.2674899999999996</v>
      </c>
      <c r="G13" t="s">
        <v>441</v>
      </c>
      <c r="H13">
        <v>2024</v>
      </c>
      <c r="I13">
        <v>2.1134499957731698</v>
      </c>
      <c r="J13">
        <v>68.900000000000006</v>
      </c>
      <c r="K13" t="b">
        <v>1</v>
      </c>
      <c r="L13" t="b">
        <v>1</v>
      </c>
      <c r="M13">
        <v>40.200000000000003</v>
      </c>
      <c r="N13">
        <v>64.7</v>
      </c>
      <c r="O13">
        <v>70.099999999999994</v>
      </c>
      <c r="P13">
        <v>92.4</v>
      </c>
    </row>
    <row r="14" spans="1:21" x14ac:dyDescent="0.35">
      <c r="A14" t="s">
        <v>802</v>
      </c>
      <c r="B14" t="s">
        <v>8</v>
      </c>
      <c r="C14" t="s">
        <v>3</v>
      </c>
      <c r="D14" t="s">
        <v>803</v>
      </c>
      <c r="E14">
        <v>24.674800000000001</v>
      </c>
      <c r="F14">
        <v>46.697699999999998</v>
      </c>
      <c r="G14" t="s">
        <v>806</v>
      </c>
      <c r="H14">
        <v>2024</v>
      </c>
      <c r="I14">
        <v>1.68792112375809</v>
      </c>
      <c r="J14">
        <v>68.2</v>
      </c>
      <c r="K14" t="b">
        <v>1</v>
      </c>
      <c r="L14" t="b">
        <v>1</v>
      </c>
      <c r="M14">
        <v>28.4</v>
      </c>
      <c r="N14">
        <v>64.2</v>
      </c>
      <c r="O14">
        <v>66.099999999999994</v>
      </c>
      <c r="P14">
        <v>89.4</v>
      </c>
      <c r="T14">
        <v>750</v>
      </c>
    </row>
    <row r="15" spans="1:21" x14ac:dyDescent="0.35">
      <c r="A15" t="s">
        <v>335</v>
      </c>
      <c r="B15" t="s">
        <v>22</v>
      </c>
      <c r="C15" t="s">
        <v>3</v>
      </c>
      <c r="D15" t="s">
        <v>336</v>
      </c>
      <c r="E15">
        <v>51.5002</v>
      </c>
      <c r="F15">
        <v>-0.12623599999999999</v>
      </c>
      <c r="G15" t="s">
        <v>339</v>
      </c>
      <c r="H15">
        <v>2024</v>
      </c>
      <c r="I15">
        <v>3.2715729463591998</v>
      </c>
      <c r="J15">
        <v>67.8</v>
      </c>
      <c r="K15" t="b">
        <v>1</v>
      </c>
      <c r="L15" t="b">
        <v>1</v>
      </c>
      <c r="M15">
        <v>30.5</v>
      </c>
      <c r="N15">
        <v>63.2</v>
      </c>
      <c r="O15">
        <v>66.7</v>
      </c>
      <c r="P15">
        <v>90.2</v>
      </c>
      <c r="Q15">
        <v>3.12</v>
      </c>
      <c r="R15">
        <v>4.4800000000000004</v>
      </c>
      <c r="S15">
        <v>105.2</v>
      </c>
      <c r="T15">
        <v>1235</v>
      </c>
      <c r="U15">
        <v>160</v>
      </c>
    </row>
    <row r="16" spans="1:21" x14ac:dyDescent="0.35">
      <c r="A16" t="s">
        <v>516</v>
      </c>
      <c r="B16" t="s">
        <v>8</v>
      </c>
      <c r="C16" t="s">
        <v>3</v>
      </c>
      <c r="D16" t="s">
        <v>517</v>
      </c>
      <c r="E16">
        <v>29.3721</v>
      </c>
      <c r="F16">
        <v>47.982399999999998</v>
      </c>
      <c r="G16" t="s">
        <v>520</v>
      </c>
      <c r="H16">
        <v>2024</v>
      </c>
      <c r="I16">
        <v>2.8985507246376199</v>
      </c>
      <c r="J16">
        <v>67.5</v>
      </c>
      <c r="K16" t="b">
        <v>1</v>
      </c>
      <c r="L16" t="b">
        <v>1</v>
      </c>
      <c r="M16">
        <v>27.8</v>
      </c>
      <c r="N16">
        <v>63.8</v>
      </c>
      <c r="O16">
        <v>65.2</v>
      </c>
      <c r="P16">
        <v>88.2</v>
      </c>
      <c r="T16">
        <v>680</v>
      </c>
    </row>
    <row r="17" spans="1:21" x14ac:dyDescent="0.35">
      <c r="A17" t="s">
        <v>713</v>
      </c>
      <c r="B17" t="s">
        <v>48</v>
      </c>
      <c r="C17" t="s">
        <v>3</v>
      </c>
      <c r="D17" t="s">
        <v>714</v>
      </c>
      <c r="E17">
        <v>-41.286499999999997</v>
      </c>
      <c r="F17">
        <v>174.77600000000001</v>
      </c>
      <c r="G17" t="s">
        <v>717</v>
      </c>
      <c r="H17">
        <v>2024</v>
      </c>
      <c r="I17">
        <v>2.9227978230195699</v>
      </c>
      <c r="J17">
        <v>66.2</v>
      </c>
      <c r="K17" t="b">
        <v>1</v>
      </c>
      <c r="L17" t="b">
        <v>1</v>
      </c>
      <c r="M17">
        <v>29.8</v>
      </c>
      <c r="N17">
        <v>62.8</v>
      </c>
      <c r="O17">
        <v>65.3</v>
      </c>
      <c r="P17">
        <v>88.5</v>
      </c>
    </row>
    <row r="18" spans="1:21" x14ac:dyDescent="0.35">
      <c r="A18" t="s">
        <v>168</v>
      </c>
      <c r="B18" t="s">
        <v>129</v>
      </c>
      <c r="C18" t="s">
        <v>3</v>
      </c>
      <c r="D18" t="s">
        <v>169</v>
      </c>
      <c r="E18">
        <v>45.421500000000002</v>
      </c>
      <c r="F18">
        <v>-75.691900000000004</v>
      </c>
      <c r="G18" t="s">
        <v>172</v>
      </c>
      <c r="H18">
        <v>2024</v>
      </c>
      <c r="I18">
        <v>2.3815838328117298</v>
      </c>
      <c r="J18">
        <v>65.400000000000006</v>
      </c>
      <c r="K18" t="b">
        <v>1</v>
      </c>
      <c r="L18" t="b">
        <v>1</v>
      </c>
      <c r="M18">
        <v>28.4</v>
      </c>
      <c r="N18">
        <v>61.5</v>
      </c>
      <c r="O18">
        <v>64.2</v>
      </c>
      <c r="P18">
        <v>92.1</v>
      </c>
      <c r="Q18">
        <v>3.18</v>
      </c>
      <c r="T18">
        <v>1200</v>
      </c>
      <c r="U18">
        <v>145</v>
      </c>
    </row>
    <row r="19" spans="1:21" x14ac:dyDescent="0.35">
      <c r="A19" t="s">
        <v>103</v>
      </c>
      <c r="B19" t="s">
        <v>8</v>
      </c>
      <c r="C19" t="s">
        <v>3</v>
      </c>
      <c r="D19" t="s">
        <v>104</v>
      </c>
      <c r="E19">
        <v>26.1921</v>
      </c>
      <c r="F19">
        <v>50.535400000000003</v>
      </c>
      <c r="G19" t="s">
        <v>107</v>
      </c>
      <c r="H19">
        <v>2024</v>
      </c>
      <c r="I19">
        <v>0.91963545981765105</v>
      </c>
      <c r="J19">
        <v>65.2</v>
      </c>
      <c r="K19" t="b">
        <v>1</v>
      </c>
      <c r="L19" t="b">
        <v>1</v>
      </c>
      <c r="M19">
        <v>26.1</v>
      </c>
      <c r="N19">
        <v>61.8</v>
      </c>
      <c r="O19">
        <v>63.5</v>
      </c>
      <c r="P19">
        <v>86.2</v>
      </c>
      <c r="T19">
        <v>600</v>
      </c>
    </row>
    <row r="20" spans="1:21" x14ac:dyDescent="0.35">
      <c r="A20" t="s">
        <v>316</v>
      </c>
      <c r="B20" t="s">
        <v>22</v>
      </c>
      <c r="C20" t="s">
        <v>3</v>
      </c>
      <c r="D20" t="s">
        <v>317</v>
      </c>
      <c r="E20">
        <v>48.8566</v>
      </c>
      <c r="F20">
        <v>2.3509699999999998</v>
      </c>
      <c r="G20" t="s">
        <v>320</v>
      </c>
      <c r="H20">
        <v>2024</v>
      </c>
      <c r="I20">
        <v>1.9990494229146301</v>
      </c>
      <c r="J20">
        <v>64.8</v>
      </c>
      <c r="K20" t="b">
        <v>1</v>
      </c>
      <c r="L20" t="b">
        <v>1</v>
      </c>
      <c r="M20">
        <v>27.9</v>
      </c>
      <c r="N20">
        <v>60.8</v>
      </c>
      <c r="O20">
        <v>63.5</v>
      </c>
      <c r="P20">
        <v>89.7</v>
      </c>
      <c r="Q20">
        <v>2.78</v>
      </c>
      <c r="R20">
        <v>4.62</v>
      </c>
      <c r="S20">
        <v>108.4</v>
      </c>
      <c r="T20">
        <v>738</v>
      </c>
      <c r="U20">
        <v>155</v>
      </c>
    </row>
    <row r="21" spans="1:21" x14ac:dyDescent="0.35">
      <c r="A21" t="s">
        <v>718</v>
      </c>
      <c r="B21" t="s">
        <v>8</v>
      </c>
      <c r="C21" t="s">
        <v>3</v>
      </c>
      <c r="D21" t="s">
        <v>719</v>
      </c>
      <c r="E21">
        <v>23.610499999999998</v>
      </c>
      <c r="F21">
        <v>58.587400000000002</v>
      </c>
      <c r="G21" t="s">
        <v>722</v>
      </c>
      <c r="H21">
        <v>2024</v>
      </c>
      <c r="I21">
        <v>0.59358923624846904</v>
      </c>
      <c r="J21">
        <v>64.8</v>
      </c>
      <c r="K21" t="b">
        <v>1</v>
      </c>
      <c r="L21" t="b">
        <v>1</v>
      </c>
      <c r="M21">
        <v>25.2</v>
      </c>
      <c r="N21">
        <v>61.2</v>
      </c>
      <c r="O21">
        <v>62.8</v>
      </c>
      <c r="P21">
        <v>85.6</v>
      </c>
      <c r="T21">
        <v>550</v>
      </c>
    </row>
    <row r="22" spans="1:21" x14ac:dyDescent="0.35">
      <c r="A22" t="s">
        <v>248</v>
      </c>
      <c r="B22" t="s">
        <v>22</v>
      </c>
      <c r="C22" t="s">
        <v>3</v>
      </c>
      <c r="D22" t="s">
        <v>249</v>
      </c>
      <c r="E22">
        <v>52.523499999999999</v>
      </c>
      <c r="F22">
        <v>13.4115</v>
      </c>
      <c r="G22" t="s">
        <v>252</v>
      </c>
      <c r="H22">
        <v>2024</v>
      </c>
      <c r="I22">
        <v>2.2564981433876001</v>
      </c>
      <c r="J22">
        <v>64.099999999999994</v>
      </c>
      <c r="K22" t="b">
        <v>1</v>
      </c>
      <c r="L22" t="b">
        <v>1</v>
      </c>
      <c r="M22">
        <v>26.5</v>
      </c>
      <c r="N22">
        <v>59.7</v>
      </c>
      <c r="O22">
        <v>62.8</v>
      </c>
      <c r="P22">
        <v>91.3</v>
      </c>
      <c r="Q22">
        <v>2.72</v>
      </c>
      <c r="R22">
        <v>4.8499999999999996</v>
      </c>
      <c r="S22">
        <v>112.3</v>
      </c>
      <c r="T22">
        <v>850</v>
      </c>
      <c r="U22">
        <v>170</v>
      </c>
    </row>
    <row r="23" spans="1:21" x14ac:dyDescent="0.35">
      <c r="A23" t="s">
        <v>476</v>
      </c>
      <c r="B23" t="s">
        <v>48</v>
      </c>
      <c r="C23" t="s">
        <v>3</v>
      </c>
      <c r="D23" t="s">
        <v>477</v>
      </c>
      <c r="E23">
        <v>35.67</v>
      </c>
      <c r="F23">
        <v>139.77000000000001</v>
      </c>
      <c r="G23" t="s">
        <v>480</v>
      </c>
      <c r="H23">
        <v>2024</v>
      </c>
      <c r="I23">
        <v>2.73853681635241</v>
      </c>
      <c r="J23">
        <v>63.2</v>
      </c>
      <c r="K23" t="b">
        <v>1</v>
      </c>
      <c r="L23" t="b">
        <v>1</v>
      </c>
      <c r="M23">
        <v>24.8</v>
      </c>
      <c r="N23">
        <v>58.9</v>
      </c>
      <c r="O23">
        <v>61.2</v>
      </c>
      <c r="P23">
        <v>85.4</v>
      </c>
      <c r="Q23">
        <v>2.85</v>
      </c>
      <c r="T23">
        <v>750</v>
      </c>
      <c r="U23">
        <v>130</v>
      </c>
    </row>
    <row r="24" spans="1:21" x14ac:dyDescent="0.35">
      <c r="A24" t="s">
        <v>461</v>
      </c>
      <c r="B24" t="s">
        <v>22</v>
      </c>
      <c r="C24" t="s">
        <v>3</v>
      </c>
      <c r="D24" t="s">
        <v>462</v>
      </c>
      <c r="E24">
        <v>41.895499999999998</v>
      </c>
      <c r="F24">
        <v>12.4823</v>
      </c>
      <c r="G24" t="s">
        <v>465</v>
      </c>
      <c r="H24">
        <v>2024</v>
      </c>
      <c r="I24">
        <v>0.98237302306141705</v>
      </c>
      <c r="J24">
        <v>62.5</v>
      </c>
      <c r="K24" t="b">
        <v>1</v>
      </c>
      <c r="L24" t="b">
        <v>1</v>
      </c>
      <c r="M24">
        <v>23.7</v>
      </c>
      <c r="N24">
        <v>58.2</v>
      </c>
      <c r="O24">
        <v>60.5</v>
      </c>
      <c r="P24">
        <v>83.6</v>
      </c>
      <c r="Q24">
        <v>2.65</v>
      </c>
      <c r="R24">
        <v>4.25</v>
      </c>
      <c r="S24">
        <v>98.5</v>
      </c>
      <c r="T24">
        <v>550</v>
      </c>
      <c r="U24">
        <v>110</v>
      </c>
    </row>
    <row r="25" spans="1:21" x14ac:dyDescent="0.35">
      <c r="A25" t="s">
        <v>291</v>
      </c>
      <c r="B25" t="s">
        <v>22</v>
      </c>
      <c r="C25" t="s">
        <v>3</v>
      </c>
      <c r="D25" t="s">
        <v>292</v>
      </c>
      <c r="E25">
        <v>40.416699999999999</v>
      </c>
      <c r="F25">
        <v>-3.7032699999999998</v>
      </c>
      <c r="G25" t="s">
        <v>295</v>
      </c>
      <c r="H25">
        <v>2024</v>
      </c>
      <c r="I25">
        <v>2.7471478866179999</v>
      </c>
      <c r="J25">
        <v>60.8</v>
      </c>
      <c r="K25" t="b">
        <v>1</v>
      </c>
      <c r="L25" t="b">
        <v>1</v>
      </c>
      <c r="M25">
        <v>22.4</v>
      </c>
      <c r="N25">
        <v>56.8</v>
      </c>
      <c r="O25">
        <v>58.9</v>
      </c>
      <c r="P25">
        <v>82.1</v>
      </c>
      <c r="Q25">
        <v>2.58</v>
      </c>
      <c r="R25">
        <v>4.08</v>
      </c>
      <c r="S25">
        <v>92.6</v>
      </c>
      <c r="T25">
        <v>480</v>
      </c>
      <c r="U25">
        <v>95</v>
      </c>
    </row>
    <row r="26" spans="1:21" x14ac:dyDescent="0.35">
      <c r="A26" t="s">
        <v>766</v>
      </c>
      <c r="B26" t="s">
        <v>22</v>
      </c>
      <c r="C26" t="s">
        <v>3</v>
      </c>
      <c r="D26" t="s">
        <v>767</v>
      </c>
      <c r="E26">
        <v>38.7072</v>
      </c>
      <c r="F26">
        <v>-9.1355199999999996</v>
      </c>
      <c r="G26" t="s">
        <v>770</v>
      </c>
      <c r="H26">
        <v>2024</v>
      </c>
      <c r="I26">
        <v>2.4161318779187599</v>
      </c>
      <c r="J26">
        <v>58.2</v>
      </c>
      <c r="K26" t="b">
        <v>1</v>
      </c>
      <c r="L26" t="b">
        <v>1</v>
      </c>
      <c r="M26">
        <v>20.5</v>
      </c>
      <c r="N26">
        <v>54.7</v>
      </c>
      <c r="O26">
        <v>56.2</v>
      </c>
      <c r="P26">
        <v>78.900000000000006</v>
      </c>
      <c r="Q26">
        <v>2.4500000000000002</v>
      </c>
      <c r="R26">
        <v>3.85</v>
      </c>
      <c r="S26">
        <v>85.4</v>
      </c>
      <c r="T26">
        <v>420</v>
      </c>
      <c r="U26">
        <v>80</v>
      </c>
    </row>
    <row r="27" spans="1:21" x14ac:dyDescent="0.35">
      <c r="A27" t="s">
        <v>371</v>
      </c>
      <c r="B27" t="s">
        <v>22</v>
      </c>
      <c r="C27" t="s">
        <v>3</v>
      </c>
      <c r="D27" t="s">
        <v>372</v>
      </c>
      <c r="E27">
        <v>37.979199999999999</v>
      </c>
      <c r="F27">
        <v>23.7166</v>
      </c>
      <c r="G27" t="s">
        <v>375</v>
      </c>
      <c r="H27">
        <v>2024</v>
      </c>
      <c r="I27">
        <v>2.7410187567948601</v>
      </c>
      <c r="J27">
        <v>57.1</v>
      </c>
      <c r="K27" t="b">
        <v>1</v>
      </c>
      <c r="L27" t="b">
        <v>1</v>
      </c>
      <c r="M27">
        <v>19.2</v>
      </c>
      <c r="N27">
        <v>53.8</v>
      </c>
      <c r="O27">
        <v>55.1</v>
      </c>
      <c r="P27">
        <v>76.400000000000006</v>
      </c>
      <c r="Q27">
        <v>2.38</v>
      </c>
      <c r="R27">
        <v>3.62</v>
      </c>
      <c r="S27">
        <v>78.2</v>
      </c>
      <c r="T27">
        <v>380</v>
      </c>
      <c r="U27">
        <v>75</v>
      </c>
    </row>
    <row r="28" spans="1:21" x14ac:dyDescent="0.35">
      <c r="A28" t="s">
        <v>665</v>
      </c>
      <c r="B28" t="s">
        <v>48</v>
      </c>
      <c r="C28" t="s">
        <v>23</v>
      </c>
      <c r="D28" t="s">
        <v>666</v>
      </c>
      <c r="E28">
        <v>3.1243300000000001</v>
      </c>
      <c r="F28">
        <v>101.684</v>
      </c>
      <c r="G28" t="s">
        <v>669</v>
      </c>
      <c r="H28">
        <v>2024</v>
      </c>
      <c r="I28">
        <v>1.834100204499</v>
      </c>
      <c r="J28">
        <v>56.8</v>
      </c>
      <c r="K28" t="b">
        <v>1</v>
      </c>
      <c r="L28" t="b">
        <v>1</v>
      </c>
      <c r="M28">
        <v>19.5</v>
      </c>
      <c r="N28">
        <v>53.8</v>
      </c>
      <c r="O28">
        <v>54.8</v>
      </c>
      <c r="P28">
        <v>75.2</v>
      </c>
      <c r="T28">
        <v>380</v>
      </c>
    </row>
    <row r="29" spans="1:21" x14ac:dyDescent="0.35">
      <c r="A29" t="s">
        <v>753</v>
      </c>
      <c r="B29" t="s">
        <v>22</v>
      </c>
      <c r="C29" t="s">
        <v>3</v>
      </c>
      <c r="D29" t="s">
        <v>754</v>
      </c>
      <c r="E29">
        <v>52.26</v>
      </c>
      <c r="F29">
        <v>21.02</v>
      </c>
      <c r="G29" t="s">
        <v>757</v>
      </c>
      <c r="H29">
        <v>2024</v>
      </c>
      <c r="I29">
        <v>3.7906089763019701</v>
      </c>
      <c r="J29">
        <v>55.8</v>
      </c>
      <c r="K29" t="b">
        <v>1</v>
      </c>
      <c r="L29" t="b">
        <v>1</v>
      </c>
      <c r="M29">
        <v>18.600000000000001</v>
      </c>
      <c r="N29">
        <v>52.4</v>
      </c>
      <c r="O29">
        <v>53.8</v>
      </c>
      <c r="P29">
        <v>74.2</v>
      </c>
      <c r="Q29">
        <v>2.25</v>
      </c>
      <c r="R29">
        <v>3.45</v>
      </c>
      <c r="S29">
        <v>72.5</v>
      </c>
      <c r="T29">
        <v>450</v>
      </c>
      <c r="U29">
        <v>85</v>
      </c>
    </row>
    <row r="30" spans="1:21" x14ac:dyDescent="0.35">
      <c r="A30" t="s">
        <v>908</v>
      </c>
      <c r="B30" t="s">
        <v>48</v>
      </c>
      <c r="C30" t="s">
        <v>23</v>
      </c>
      <c r="D30" t="s">
        <v>909</v>
      </c>
      <c r="E30">
        <v>13.7308</v>
      </c>
      <c r="F30">
        <v>100.521</v>
      </c>
      <c r="G30" t="s">
        <v>912</v>
      </c>
      <c r="H30">
        <v>2024</v>
      </c>
      <c r="I30">
        <v>0.39833333333342202</v>
      </c>
      <c r="J30">
        <v>55.2</v>
      </c>
      <c r="K30" t="b">
        <v>1</v>
      </c>
      <c r="L30" t="b">
        <v>1</v>
      </c>
      <c r="M30">
        <v>18.2</v>
      </c>
      <c r="N30">
        <v>52.4</v>
      </c>
      <c r="O30">
        <v>53.2</v>
      </c>
      <c r="P30">
        <v>72.8</v>
      </c>
      <c r="T30">
        <v>350</v>
      </c>
    </row>
    <row r="31" spans="1:21" x14ac:dyDescent="0.35">
      <c r="A31" t="s">
        <v>550</v>
      </c>
      <c r="B31" t="s">
        <v>93</v>
      </c>
      <c r="C31" t="s">
        <v>23</v>
      </c>
      <c r="D31" t="s">
        <v>551</v>
      </c>
      <c r="E31">
        <v>6.9214799999999999</v>
      </c>
      <c r="F31">
        <v>79.852800000000002</v>
      </c>
      <c r="G31" t="s">
        <v>554</v>
      </c>
      <c r="H31">
        <v>2024</v>
      </c>
      <c r="I31">
        <v>-0.42936004906973002</v>
      </c>
      <c r="J31">
        <v>53.8</v>
      </c>
      <c r="K31" t="b">
        <v>1</v>
      </c>
      <c r="L31" t="b">
        <v>1</v>
      </c>
      <c r="M31">
        <v>17.2</v>
      </c>
      <c r="N31">
        <v>50.8</v>
      </c>
      <c r="O31">
        <v>51.5</v>
      </c>
      <c r="P31">
        <v>70.2</v>
      </c>
      <c r="R31">
        <v>0.27</v>
      </c>
      <c r="S31">
        <v>9.93</v>
      </c>
      <c r="T31">
        <v>200</v>
      </c>
    </row>
    <row r="32" spans="1:21" x14ac:dyDescent="0.35">
      <c r="A32" t="s">
        <v>603</v>
      </c>
      <c r="B32" t="s">
        <v>2</v>
      </c>
      <c r="C32" t="s">
        <v>23</v>
      </c>
      <c r="D32" t="s">
        <v>604</v>
      </c>
      <c r="E32">
        <v>19.427</v>
      </c>
      <c r="F32">
        <v>-99.127600000000001</v>
      </c>
      <c r="G32" t="s">
        <v>607</v>
      </c>
      <c r="H32">
        <v>2024</v>
      </c>
      <c r="I32">
        <v>4.7222558845293197</v>
      </c>
      <c r="J32">
        <v>52.8</v>
      </c>
      <c r="K32" t="b">
        <v>1</v>
      </c>
      <c r="L32" t="b">
        <v>1</v>
      </c>
      <c r="M32">
        <v>16.8</v>
      </c>
      <c r="N32">
        <v>50.1</v>
      </c>
      <c r="O32">
        <v>51.2</v>
      </c>
      <c r="P32">
        <v>69.8</v>
      </c>
      <c r="Q32">
        <v>1.98</v>
      </c>
      <c r="R32">
        <v>3.05</v>
      </c>
      <c r="S32">
        <v>58.2</v>
      </c>
      <c r="T32">
        <v>350</v>
      </c>
      <c r="U32">
        <v>55</v>
      </c>
    </row>
    <row r="33" spans="1:21" x14ac:dyDescent="0.35">
      <c r="A33" t="s">
        <v>704</v>
      </c>
      <c r="B33" t="s">
        <v>93</v>
      </c>
      <c r="C33" t="s">
        <v>16</v>
      </c>
      <c r="D33" t="s">
        <v>705</v>
      </c>
      <c r="E33">
        <v>27.693899999999999</v>
      </c>
      <c r="F33">
        <v>85.315700000000007</v>
      </c>
      <c r="G33" t="s">
        <v>708</v>
      </c>
      <c r="H33">
        <v>2024</v>
      </c>
      <c r="I33">
        <v>4.6850965426576998</v>
      </c>
      <c r="J33">
        <v>51.5</v>
      </c>
      <c r="K33" t="b">
        <v>1</v>
      </c>
      <c r="L33" t="b">
        <v>1</v>
      </c>
      <c r="M33">
        <v>15.8</v>
      </c>
      <c r="N33">
        <v>49.2</v>
      </c>
      <c r="O33">
        <v>49.8</v>
      </c>
      <c r="P33">
        <v>67.8</v>
      </c>
      <c r="T33">
        <v>150</v>
      </c>
    </row>
    <row r="34" spans="1:21" x14ac:dyDescent="0.35">
      <c r="A34" t="s">
        <v>138</v>
      </c>
      <c r="B34" t="s">
        <v>2</v>
      </c>
      <c r="C34" t="s">
        <v>23</v>
      </c>
      <c r="D34" t="s">
        <v>139</v>
      </c>
      <c r="E34">
        <v>-15.780099999999999</v>
      </c>
      <c r="F34">
        <v>-47.929200000000002</v>
      </c>
      <c r="G34" t="s">
        <v>142</v>
      </c>
      <c r="H34">
        <v>2024</v>
      </c>
      <c r="I34">
        <v>4.3674640765233699</v>
      </c>
      <c r="J34">
        <v>51.4</v>
      </c>
      <c r="K34" t="b">
        <v>1</v>
      </c>
      <c r="L34" t="b">
        <v>1</v>
      </c>
      <c r="M34">
        <v>15.9</v>
      </c>
      <c r="N34">
        <v>49.2</v>
      </c>
      <c r="O34">
        <v>50.1</v>
      </c>
      <c r="P34">
        <v>67.5</v>
      </c>
      <c r="Q34">
        <v>1.85</v>
      </c>
      <c r="R34">
        <v>2.85</v>
      </c>
      <c r="S34">
        <v>52.4</v>
      </c>
      <c r="T34">
        <v>270</v>
      </c>
      <c r="U34">
        <v>70</v>
      </c>
    </row>
    <row r="35" spans="1:21" x14ac:dyDescent="0.35">
      <c r="A35" t="s">
        <v>1021</v>
      </c>
      <c r="B35" t="s">
        <v>15</v>
      </c>
      <c r="C35" t="s">
        <v>23</v>
      </c>
      <c r="D35" t="s">
        <v>1022</v>
      </c>
      <c r="E35">
        <v>-25.745999999999999</v>
      </c>
      <c r="F35">
        <v>28.187100000000001</v>
      </c>
      <c r="G35" t="s">
        <v>1025</v>
      </c>
      <c r="H35">
        <v>2024</v>
      </c>
      <c r="I35">
        <v>4.3611524651896199</v>
      </c>
      <c r="J35">
        <v>50.2</v>
      </c>
      <c r="K35" t="b">
        <v>1</v>
      </c>
      <c r="L35" t="b">
        <v>1</v>
      </c>
      <c r="M35">
        <v>15.2</v>
      </c>
      <c r="N35">
        <v>48.5</v>
      </c>
      <c r="O35">
        <v>49.3</v>
      </c>
      <c r="P35">
        <v>65.8</v>
      </c>
      <c r="Q35">
        <v>1.78</v>
      </c>
      <c r="R35">
        <v>2.68</v>
      </c>
      <c r="S35">
        <v>48.5</v>
      </c>
      <c r="T35">
        <v>320</v>
      </c>
      <c r="U35">
        <v>60</v>
      </c>
    </row>
    <row r="36" spans="1:21" x14ac:dyDescent="0.35">
      <c r="A36" t="s">
        <v>496</v>
      </c>
      <c r="B36" t="s">
        <v>48</v>
      </c>
      <c r="C36" t="s">
        <v>16</v>
      </c>
      <c r="D36" t="s">
        <v>497</v>
      </c>
      <c r="E36">
        <v>11.5556</v>
      </c>
      <c r="F36">
        <v>104.874</v>
      </c>
      <c r="G36" t="s">
        <v>500</v>
      </c>
      <c r="H36">
        <v>2024</v>
      </c>
      <c r="I36">
        <v>0.80804201653665397</v>
      </c>
      <c r="J36">
        <v>50.2</v>
      </c>
      <c r="K36" t="b">
        <v>1</v>
      </c>
      <c r="L36" t="b">
        <v>1</v>
      </c>
      <c r="M36">
        <v>14.5</v>
      </c>
      <c r="N36">
        <v>48.2</v>
      </c>
      <c r="O36">
        <v>48.5</v>
      </c>
      <c r="P36">
        <v>65.2</v>
      </c>
      <c r="T36">
        <v>160</v>
      </c>
    </row>
    <row r="37" spans="1:21" x14ac:dyDescent="0.35">
      <c r="A37" t="s">
        <v>184</v>
      </c>
      <c r="B37" t="s">
        <v>48</v>
      </c>
      <c r="C37" t="s">
        <v>23</v>
      </c>
      <c r="D37" t="s">
        <v>185</v>
      </c>
      <c r="E37">
        <v>40.049500000000002</v>
      </c>
      <c r="F37">
        <v>116.286</v>
      </c>
      <c r="G37" t="s">
        <v>188</v>
      </c>
      <c r="H37">
        <v>2024</v>
      </c>
      <c r="I37">
        <v>0.21812893843917699</v>
      </c>
      <c r="J37">
        <v>49.8</v>
      </c>
      <c r="K37" t="b">
        <v>1</v>
      </c>
      <c r="L37" t="b">
        <v>1</v>
      </c>
      <c r="M37">
        <v>14.8</v>
      </c>
      <c r="N37">
        <v>47.8</v>
      </c>
      <c r="O37">
        <v>48.5</v>
      </c>
      <c r="P37">
        <v>64.2</v>
      </c>
      <c r="Q37">
        <v>1.65</v>
      </c>
      <c r="R37">
        <v>2.4500000000000002</v>
      </c>
      <c r="S37">
        <v>42.8</v>
      </c>
      <c r="T37">
        <v>540</v>
      </c>
      <c r="U37">
        <v>80</v>
      </c>
    </row>
    <row r="38" spans="1:21" x14ac:dyDescent="0.35">
      <c r="A38" t="s">
        <v>627</v>
      </c>
      <c r="B38" t="s">
        <v>48</v>
      </c>
      <c r="C38" t="s">
        <v>16</v>
      </c>
      <c r="D38" t="s">
        <v>628</v>
      </c>
      <c r="E38">
        <v>21.914000000000001</v>
      </c>
      <c r="F38">
        <v>95.956199999999995</v>
      </c>
      <c r="I38">
        <v>0</v>
      </c>
      <c r="J38">
        <v>48.8</v>
      </c>
      <c r="K38" t="b">
        <v>1</v>
      </c>
      <c r="L38" t="b">
        <v>1</v>
      </c>
      <c r="M38">
        <v>13.2</v>
      </c>
      <c r="N38">
        <v>46.8</v>
      </c>
      <c r="O38">
        <v>46.9</v>
      </c>
      <c r="P38">
        <v>62.8</v>
      </c>
      <c r="T38">
        <v>140</v>
      </c>
    </row>
    <row r="39" spans="1:21" x14ac:dyDescent="0.35">
      <c r="A39" t="s">
        <v>432</v>
      </c>
      <c r="B39" t="s">
        <v>93</v>
      </c>
      <c r="C39" t="s">
        <v>16</v>
      </c>
      <c r="D39" t="s">
        <v>433</v>
      </c>
      <c r="E39">
        <v>28.635300000000001</v>
      </c>
      <c r="F39">
        <v>77.224999999999994</v>
      </c>
      <c r="G39" t="s">
        <v>436</v>
      </c>
      <c r="H39">
        <v>2024</v>
      </c>
      <c r="I39">
        <v>4.9530355097366101</v>
      </c>
      <c r="J39">
        <v>48.5</v>
      </c>
      <c r="K39" t="b">
        <v>1</v>
      </c>
      <c r="L39" t="b">
        <v>1</v>
      </c>
      <c r="M39">
        <v>13.5</v>
      </c>
      <c r="N39">
        <v>46.2</v>
      </c>
      <c r="O39">
        <v>47.1</v>
      </c>
      <c r="P39">
        <v>62.5</v>
      </c>
      <c r="Q39">
        <v>1.52</v>
      </c>
      <c r="R39">
        <v>2.1800000000000002</v>
      </c>
      <c r="S39">
        <v>35.200000000000003</v>
      </c>
      <c r="T39">
        <v>164</v>
      </c>
      <c r="U39">
        <v>45</v>
      </c>
    </row>
    <row r="40" spans="1:21" x14ac:dyDescent="0.35">
      <c r="A40" t="s">
        <v>636</v>
      </c>
      <c r="B40" t="s">
        <v>48</v>
      </c>
      <c r="C40" t="s">
        <v>23</v>
      </c>
      <c r="D40" t="s">
        <v>637</v>
      </c>
      <c r="E40">
        <v>47.9129</v>
      </c>
      <c r="F40">
        <v>106.937</v>
      </c>
      <c r="G40" t="s">
        <v>640</v>
      </c>
      <c r="H40">
        <v>2024</v>
      </c>
      <c r="I40">
        <v>6.1977990165841996</v>
      </c>
      <c r="J40">
        <v>47.5</v>
      </c>
      <c r="K40" t="b">
        <v>1</v>
      </c>
      <c r="L40" t="b">
        <v>1</v>
      </c>
      <c r="M40">
        <v>12.5</v>
      </c>
      <c r="N40">
        <v>45.5</v>
      </c>
      <c r="O40">
        <v>45.8</v>
      </c>
      <c r="P40">
        <v>60.5</v>
      </c>
    </row>
    <row r="41" spans="1:21" x14ac:dyDescent="0.35">
      <c r="A41" t="s">
        <v>423</v>
      </c>
      <c r="B41" t="s">
        <v>48</v>
      </c>
      <c r="C41" t="s">
        <v>23</v>
      </c>
      <c r="D41" t="s">
        <v>424</v>
      </c>
      <c r="E41">
        <v>-6.1975199999999999</v>
      </c>
      <c r="F41">
        <v>106.83</v>
      </c>
      <c r="G41" t="s">
        <v>427</v>
      </c>
      <c r="H41">
        <v>2024</v>
      </c>
      <c r="I41">
        <v>2.1815127361518898</v>
      </c>
      <c r="J41">
        <v>47.2</v>
      </c>
      <c r="K41" t="b">
        <v>1</v>
      </c>
      <c r="L41" t="b">
        <v>1</v>
      </c>
      <c r="M41">
        <v>12.8</v>
      </c>
      <c r="N41">
        <v>45.1</v>
      </c>
      <c r="O41">
        <v>45.8</v>
      </c>
      <c r="P41">
        <v>60.8</v>
      </c>
      <c r="Q41">
        <v>1.45</v>
      </c>
      <c r="R41">
        <v>2.0499999999999998</v>
      </c>
      <c r="S41">
        <v>32.4</v>
      </c>
      <c r="T41">
        <v>305</v>
      </c>
      <c r="U41">
        <v>55</v>
      </c>
    </row>
    <row r="42" spans="1:21" x14ac:dyDescent="0.35">
      <c r="A42" t="s">
        <v>738</v>
      </c>
      <c r="B42" t="s">
        <v>48</v>
      </c>
      <c r="C42" t="s">
        <v>23</v>
      </c>
      <c r="D42" t="s">
        <v>739</v>
      </c>
      <c r="E42">
        <v>14.551500000000001</v>
      </c>
      <c r="F42">
        <v>121.035</v>
      </c>
      <c r="G42" t="s">
        <v>742</v>
      </c>
      <c r="H42">
        <v>2024</v>
      </c>
      <c r="I42">
        <v>3.21260487006347</v>
      </c>
      <c r="J42">
        <v>46.1</v>
      </c>
      <c r="K42" t="b">
        <v>1</v>
      </c>
      <c r="L42" t="b">
        <v>1</v>
      </c>
      <c r="M42">
        <v>12.2</v>
      </c>
      <c r="N42">
        <v>44.2</v>
      </c>
      <c r="O42">
        <v>44.5</v>
      </c>
      <c r="P42">
        <v>59.2</v>
      </c>
      <c r="Q42">
        <v>1.38</v>
      </c>
      <c r="R42">
        <v>1.92</v>
      </c>
      <c r="S42">
        <v>28.5</v>
      </c>
      <c r="T42">
        <v>280</v>
      </c>
      <c r="U42">
        <v>48</v>
      </c>
    </row>
    <row r="43" spans="1:21" x14ac:dyDescent="0.35">
      <c r="A43" t="s">
        <v>723</v>
      </c>
      <c r="B43" t="s">
        <v>8</v>
      </c>
      <c r="C43" t="s">
        <v>16</v>
      </c>
      <c r="D43" t="s">
        <v>724</v>
      </c>
      <c r="E43">
        <v>30.5167</v>
      </c>
      <c r="F43">
        <v>72.8</v>
      </c>
      <c r="G43" t="s">
        <v>727</v>
      </c>
      <c r="H43">
        <v>2024</v>
      </c>
      <c r="I43">
        <v>12.632531853045201</v>
      </c>
      <c r="J43">
        <v>43.2</v>
      </c>
      <c r="K43" t="b">
        <v>1</v>
      </c>
      <c r="L43" t="b">
        <v>1</v>
      </c>
      <c r="M43">
        <v>10.8</v>
      </c>
      <c r="N43">
        <v>41.8</v>
      </c>
      <c r="O43">
        <v>41.9</v>
      </c>
      <c r="P43">
        <v>55.8</v>
      </c>
      <c r="Q43">
        <v>1.18</v>
      </c>
      <c r="R43">
        <v>1.52</v>
      </c>
      <c r="S43">
        <v>20.8</v>
      </c>
      <c r="T43">
        <v>120</v>
      </c>
      <c r="U43">
        <v>30</v>
      </c>
    </row>
    <row r="44" spans="1:21" x14ac:dyDescent="0.35">
      <c r="A44" t="s">
        <v>684</v>
      </c>
      <c r="B44" t="s">
        <v>15</v>
      </c>
      <c r="C44" t="s">
        <v>16</v>
      </c>
      <c r="D44" t="s">
        <v>685</v>
      </c>
      <c r="E44">
        <v>9.0580400000000001</v>
      </c>
      <c r="F44">
        <v>7.4890600000000003</v>
      </c>
      <c r="G44" t="s">
        <v>688</v>
      </c>
      <c r="H44">
        <v>2024</v>
      </c>
      <c r="I44">
        <v>33.241659055274901</v>
      </c>
      <c r="J44">
        <v>40.799999999999997</v>
      </c>
      <c r="K44" t="b">
        <v>1</v>
      </c>
      <c r="L44" t="b">
        <v>1</v>
      </c>
      <c r="M44">
        <v>9.5</v>
      </c>
      <c r="N44">
        <v>39.200000000000003</v>
      </c>
      <c r="O44">
        <v>39.5</v>
      </c>
      <c r="P44">
        <v>52.5</v>
      </c>
      <c r="Q44">
        <v>1.05</v>
      </c>
      <c r="R44">
        <v>1.32</v>
      </c>
      <c r="S44">
        <v>16.2</v>
      </c>
      <c r="T44">
        <v>180</v>
      </c>
      <c r="U44">
        <v>40</v>
      </c>
    </row>
    <row r="45" spans="1:21" x14ac:dyDescent="0.35">
      <c r="A45" t="s">
        <v>92</v>
      </c>
      <c r="B45" t="s">
        <v>93</v>
      </c>
      <c r="C45" t="s">
        <v>16</v>
      </c>
      <c r="D45" t="s">
        <v>94</v>
      </c>
      <c r="E45">
        <v>23.705500000000001</v>
      </c>
      <c r="F45">
        <v>90.411299999999997</v>
      </c>
      <c r="G45" t="s">
        <v>97</v>
      </c>
      <c r="H45">
        <v>2024</v>
      </c>
      <c r="I45">
        <v>10.4657482763412</v>
      </c>
      <c r="J45">
        <v>39.5</v>
      </c>
      <c r="K45" t="b">
        <v>1</v>
      </c>
      <c r="L45" t="b">
        <v>1</v>
      </c>
      <c r="M45">
        <v>8.8000000000000007</v>
      </c>
      <c r="N45">
        <v>38.1</v>
      </c>
      <c r="O45">
        <v>38.200000000000003</v>
      </c>
      <c r="P45">
        <v>50.8</v>
      </c>
      <c r="Q45">
        <v>0.95</v>
      </c>
      <c r="R45">
        <v>1.18</v>
      </c>
      <c r="S45">
        <v>14.5</v>
      </c>
      <c r="T45">
        <v>100</v>
      </c>
      <c r="U45">
        <v>25</v>
      </c>
    </row>
    <row r="46" spans="1:21" x14ac:dyDescent="0.35">
      <c r="A46" t="s">
        <v>7</v>
      </c>
      <c r="B46" t="s">
        <v>8</v>
      </c>
      <c r="C46" t="s">
        <v>9</v>
      </c>
      <c r="D46" t="s">
        <v>10</v>
      </c>
      <c r="E46">
        <v>34.522799999999997</v>
      </c>
      <c r="F46">
        <v>69.176100000000005</v>
      </c>
      <c r="G46" t="s">
        <v>13</v>
      </c>
      <c r="H46">
        <v>2024</v>
      </c>
      <c r="I46">
        <v>-6.6011856407372598</v>
      </c>
      <c r="J46">
        <v>38.200000000000003</v>
      </c>
      <c r="K46" t="b">
        <v>1</v>
      </c>
      <c r="L46" t="b">
        <v>1</v>
      </c>
      <c r="M46">
        <v>8.1999999999999993</v>
      </c>
      <c r="N46">
        <v>36.799999999999997</v>
      </c>
      <c r="O46">
        <v>36.9</v>
      </c>
      <c r="P46">
        <v>48.5</v>
      </c>
      <c r="Q46">
        <v>0.88</v>
      </c>
      <c r="R46">
        <v>1.05</v>
      </c>
      <c r="S46">
        <v>12.8</v>
      </c>
      <c r="T46">
        <v>85</v>
      </c>
      <c r="U46">
        <v>20</v>
      </c>
    </row>
    <row r="47" spans="1:21" x14ac:dyDescent="0.35">
      <c r="A47" t="s">
        <v>37</v>
      </c>
      <c r="B47" t="s">
        <v>2</v>
      </c>
      <c r="C47" t="s">
        <v>23</v>
      </c>
      <c r="D47" t="s">
        <v>38</v>
      </c>
      <c r="E47">
        <v>-34.611800000000002</v>
      </c>
      <c r="F47">
        <v>-58.417299999999997</v>
      </c>
      <c r="G47" t="s">
        <v>41</v>
      </c>
      <c r="H47">
        <v>2024</v>
      </c>
      <c r="I47">
        <v>219.883929014578</v>
      </c>
      <c r="J47">
        <v>0</v>
      </c>
      <c r="K47" t="b">
        <v>1</v>
      </c>
      <c r="L47" t="b">
        <v>1</v>
      </c>
    </row>
    <row r="48" spans="1:21" x14ac:dyDescent="0.35">
      <c r="A48" t="s">
        <v>807</v>
      </c>
      <c r="B48" t="s">
        <v>15</v>
      </c>
      <c r="C48" t="s">
        <v>9</v>
      </c>
      <c r="D48" t="s">
        <v>808</v>
      </c>
      <c r="E48">
        <v>15.5932</v>
      </c>
      <c r="F48">
        <v>32.536299999999997</v>
      </c>
      <c r="G48" t="s">
        <v>811</v>
      </c>
      <c r="H48">
        <v>2022</v>
      </c>
      <c r="I48">
        <v>138.80846024176</v>
      </c>
      <c r="J48">
        <v>0</v>
      </c>
      <c r="K48" t="b">
        <v>1</v>
      </c>
      <c r="L48" t="b">
        <v>1</v>
      </c>
    </row>
    <row r="49" spans="1:12" x14ac:dyDescent="0.35">
      <c r="A49" t="s">
        <v>1031</v>
      </c>
      <c r="B49" t="s">
        <v>15</v>
      </c>
      <c r="C49" t="s">
        <v>16</v>
      </c>
      <c r="D49" t="s">
        <v>1032</v>
      </c>
      <c r="E49">
        <v>-17.831199999999999</v>
      </c>
      <c r="F49">
        <v>31.0672</v>
      </c>
      <c r="G49" t="s">
        <v>1035</v>
      </c>
      <c r="H49">
        <v>2022</v>
      </c>
      <c r="I49">
        <v>104.70517062866701</v>
      </c>
      <c r="J49">
        <v>0</v>
      </c>
      <c r="K49" t="b">
        <v>1</v>
      </c>
      <c r="L49" t="b">
        <v>1</v>
      </c>
    </row>
    <row r="50" spans="1:12" x14ac:dyDescent="0.35">
      <c r="A50" t="s">
        <v>849</v>
      </c>
      <c r="B50" t="s">
        <v>15</v>
      </c>
      <c r="C50" t="s">
        <v>9</v>
      </c>
      <c r="D50" t="s">
        <v>850</v>
      </c>
      <c r="E50">
        <v>4.8499999999999996</v>
      </c>
      <c r="F50">
        <v>31.6</v>
      </c>
      <c r="G50" t="s">
        <v>853</v>
      </c>
      <c r="H50">
        <v>2024</v>
      </c>
      <c r="I50">
        <v>91.440822076904595</v>
      </c>
      <c r="J50">
        <v>0</v>
      </c>
      <c r="K50" t="b">
        <v>1</v>
      </c>
      <c r="L50" t="b">
        <v>1</v>
      </c>
    </row>
    <row r="51" spans="1:12" x14ac:dyDescent="0.35">
      <c r="A51" t="s">
        <v>941</v>
      </c>
      <c r="B51" t="s">
        <v>22</v>
      </c>
      <c r="C51" t="s">
        <v>23</v>
      </c>
      <c r="D51" t="s">
        <v>942</v>
      </c>
      <c r="E51">
        <v>39.715299999999999</v>
      </c>
      <c r="F51">
        <v>32.360599999999998</v>
      </c>
      <c r="G51" t="s">
        <v>945</v>
      </c>
      <c r="H51">
        <v>2024</v>
      </c>
      <c r="I51">
        <v>58.506450730034203</v>
      </c>
      <c r="J51">
        <v>0</v>
      </c>
      <c r="K51" t="b">
        <v>1</v>
      </c>
      <c r="L51" t="b">
        <v>1</v>
      </c>
    </row>
    <row r="52" spans="1:12" x14ac:dyDescent="0.35">
      <c r="A52" t="s">
        <v>776</v>
      </c>
      <c r="B52" t="s">
        <v>8</v>
      </c>
      <c r="C52" t="s">
        <v>16</v>
      </c>
      <c r="G52" t="s">
        <v>777</v>
      </c>
      <c r="H52">
        <v>2024</v>
      </c>
      <c r="I52">
        <v>53.669145830378199</v>
      </c>
      <c r="J52">
        <v>0</v>
      </c>
      <c r="K52" t="b">
        <v>1</v>
      </c>
      <c r="L52" t="b">
        <v>1</v>
      </c>
    </row>
    <row r="53" spans="1:12" x14ac:dyDescent="0.35">
      <c r="A53" t="s">
        <v>526</v>
      </c>
      <c r="B53" t="s">
        <v>8</v>
      </c>
      <c r="C53" t="s">
        <v>16</v>
      </c>
      <c r="D53" t="s">
        <v>527</v>
      </c>
      <c r="E53">
        <v>33.8872</v>
      </c>
      <c r="F53">
        <v>35.513399999999997</v>
      </c>
      <c r="G53" t="s">
        <v>530</v>
      </c>
      <c r="H53">
        <v>2024</v>
      </c>
      <c r="I53">
        <v>45.243042271671797</v>
      </c>
      <c r="J53">
        <v>0</v>
      </c>
      <c r="K53" t="b">
        <v>1</v>
      </c>
      <c r="L53" t="b">
        <v>1</v>
      </c>
    </row>
    <row r="54" spans="1:12" x14ac:dyDescent="0.35">
      <c r="A54" t="s">
        <v>442</v>
      </c>
      <c r="B54" t="s">
        <v>8</v>
      </c>
      <c r="C54" t="s">
        <v>23</v>
      </c>
      <c r="D54" t="s">
        <v>443</v>
      </c>
      <c r="E54">
        <v>35.687800000000003</v>
      </c>
      <c r="F54">
        <v>51.444699999999997</v>
      </c>
      <c r="G54" t="s">
        <v>446</v>
      </c>
      <c r="H54">
        <v>2024</v>
      </c>
      <c r="I54">
        <v>32.455871402916998</v>
      </c>
      <c r="J54">
        <v>0</v>
      </c>
      <c r="K54" t="b">
        <v>1</v>
      </c>
      <c r="L54" t="b">
        <v>1</v>
      </c>
    </row>
    <row r="55" spans="1:12" x14ac:dyDescent="0.35">
      <c r="A55" t="s">
        <v>660</v>
      </c>
      <c r="B55" t="s">
        <v>15</v>
      </c>
      <c r="C55" t="s">
        <v>9</v>
      </c>
      <c r="D55" t="s">
        <v>661</v>
      </c>
      <c r="E55">
        <v>-13.9899</v>
      </c>
      <c r="F55">
        <v>33.770299999999999</v>
      </c>
      <c r="G55" t="s">
        <v>664</v>
      </c>
      <c r="H55">
        <v>2024</v>
      </c>
      <c r="I55">
        <v>32.179650422502498</v>
      </c>
      <c r="J55">
        <v>0</v>
      </c>
      <c r="K55" t="b">
        <v>1</v>
      </c>
      <c r="L55" t="b">
        <v>1</v>
      </c>
    </row>
    <row r="56" spans="1:12" x14ac:dyDescent="0.35">
      <c r="A56" t="s">
        <v>826</v>
      </c>
      <c r="B56" t="s">
        <v>15</v>
      </c>
      <c r="C56" t="s">
        <v>9</v>
      </c>
      <c r="D56" t="s">
        <v>827</v>
      </c>
      <c r="E56">
        <v>8.4821000000000009</v>
      </c>
      <c r="F56">
        <v>-13.2134</v>
      </c>
      <c r="G56" t="s">
        <v>830</v>
      </c>
      <c r="H56">
        <v>2024</v>
      </c>
      <c r="I56">
        <v>28.633750001411499</v>
      </c>
      <c r="J56">
        <v>0</v>
      </c>
      <c r="K56" t="b">
        <v>1</v>
      </c>
      <c r="L56" t="b">
        <v>1</v>
      </c>
    </row>
    <row r="57" spans="1:12" x14ac:dyDescent="0.35">
      <c r="A57" t="s">
        <v>282</v>
      </c>
      <c r="B57" t="s">
        <v>8</v>
      </c>
      <c r="C57" t="s">
        <v>16</v>
      </c>
      <c r="D57" t="s">
        <v>283</v>
      </c>
      <c r="E57">
        <v>30.098199999999999</v>
      </c>
      <c r="F57">
        <v>31.246099999999998</v>
      </c>
      <c r="G57" t="s">
        <v>286</v>
      </c>
      <c r="H57">
        <v>2024</v>
      </c>
      <c r="I57">
        <v>28.270589932208299</v>
      </c>
      <c r="J57">
        <v>0</v>
      </c>
      <c r="K57" t="b">
        <v>1</v>
      </c>
      <c r="L57" t="b">
        <v>1</v>
      </c>
    </row>
    <row r="58" spans="1:12" x14ac:dyDescent="0.35">
      <c r="A58" t="s">
        <v>14</v>
      </c>
      <c r="B58" t="s">
        <v>15</v>
      </c>
      <c r="C58" t="s">
        <v>16</v>
      </c>
      <c r="D58" t="s">
        <v>17</v>
      </c>
      <c r="E58">
        <v>-8.8115500000000004</v>
      </c>
      <c r="F58">
        <v>13.242000000000001</v>
      </c>
      <c r="G58" t="s">
        <v>20</v>
      </c>
      <c r="H58">
        <v>2024</v>
      </c>
      <c r="I58">
        <v>28.2404948915772</v>
      </c>
      <c r="J58">
        <v>0</v>
      </c>
      <c r="K58" t="b">
        <v>1</v>
      </c>
      <c r="L58" t="b">
        <v>1</v>
      </c>
    </row>
    <row r="59" spans="1:12" x14ac:dyDescent="0.35">
      <c r="A59" t="s">
        <v>413</v>
      </c>
      <c r="B59" t="s">
        <v>2</v>
      </c>
      <c r="C59" t="s">
        <v>16</v>
      </c>
      <c r="D59" t="s">
        <v>414</v>
      </c>
      <c r="E59">
        <v>18.539200000000001</v>
      </c>
      <c r="F59">
        <v>-72.328800000000001</v>
      </c>
      <c r="G59" t="s">
        <v>417</v>
      </c>
      <c r="H59">
        <v>2024</v>
      </c>
      <c r="I59">
        <v>26.9490564091987</v>
      </c>
      <c r="J59">
        <v>0</v>
      </c>
      <c r="K59" t="b">
        <v>1</v>
      </c>
      <c r="L59" t="b">
        <v>1</v>
      </c>
    </row>
    <row r="60" spans="1:12" x14ac:dyDescent="0.35">
      <c r="A60" t="s">
        <v>521</v>
      </c>
      <c r="B60" t="s">
        <v>48</v>
      </c>
      <c r="C60" t="s">
        <v>16</v>
      </c>
      <c r="D60" t="s">
        <v>522</v>
      </c>
      <c r="E60">
        <v>18.582599999999999</v>
      </c>
      <c r="F60">
        <v>102.17700000000001</v>
      </c>
      <c r="G60" t="s">
        <v>525</v>
      </c>
      <c r="H60">
        <v>2024</v>
      </c>
      <c r="I60">
        <v>23.130569594258802</v>
      </c>
      <c r="J60">
        <v>0</v>
      </c>
      <c r="K60" t="b">
        <v>1</v>
      </c>
      <c r="L60" t="b">
        <v>1</v>
      </c>
    </row>
    <row r="61" spans="1:12" x14ac:dyDescent="0.35">
      <c r="A61" t="s">
        <v>345</v>
      </c>
      <c r="B61" t="s">
        <v>15</v>
      </c>
      <c r="C61" t="s">
        <v>16</v>
      </c>
      <c r="D61" t="s">
        <v>346</v>
      </c>
      <c r="E61">
        <v>5.5704500000000001</v>
      </c>
      <c r="F61">
        <v>-0.20795</v>
      </c>
      <c r="G61" t="s">
        <v>349</v>
      </c>
      <c r="H61">
        <v>2024</v>
      </c>
      <c r="I61">
        <v>22.848328115784199</v>
      </c>
      <c r="J61">
        <v>0</v>
      </c>
      <c r="K61" t="b">
        <v>1</v>
      </c>
      <c r="L61" t="b">
        <v>1</v>
      </c>
    </row>
    <row r="62" spans="1:12" x14ac:dyDescent="0.35">
      <c r="A62" t="s">
        <v>301</v>
      </c>
      <c r="B62" t="s">
        <v>15</v>
      </c>
      <c r="C62" t="s">
        <v>9</v>
      </c>
      <c r="D62" t="s">
        <v>302</v>
      </c>
      <c r="E62">
        <v>9.0227400000000006</v>
      </c>
      <c r="F62">
        <v>38.7468</v>
      </c>
      <c r="G62" t="s">
        <v>305</v>
      </c>
      <c r="H62">
        <v>2024</v>
      </c>
      <c r="I62">
        <v>21.037746057771098</v>
      </c>
      <c r="J62">
        <v>0</v>
      </c>
      <c r="K62" t="b">
        <v>1</v>
      </c>
      <c r="L62" t="b">
        <v>1</v>
      </c>
    </row>
    <row r="63" spans="1:12" x14ac:dyDescent="0.35">
      <c r="A63" t="s">
        <v>72</v>
      </c>
      <c r="B63" t="s">
        <v>15</v>
      </c>
      <c r="C63" t="s">
        <v>9</v>
      </c>
      <c r="D63" t="s">
        <v>73</v>
      </c>
      <c r="E63">
        <v>-3.3784000000000001</v>
      </c>
      <c r="F63">
        <v>29.363900000000001</v>
      </c>
      <c r="G63" t="s">
        <v>76</v>
      </c>
      <c r="H63">
        <v>2024</v>
      </c>
      <c r="I63">
        <v>20.212492502784698</v>
      </c>
      <c r="J63">
        <v>0</v>
      </c>
      <c r="K63" t="b">
        <v>1</v>
      </c>
      <c r="L63" t="b">
        <v>1</v>
      </c>
    </row>
    <row r="64" spans="1:12" x14ac:dyDescent="0.35">
      <c r="A64" t="s">
        <v>859</v>
      </c>
      <c r="B64" t="s">
        <v>2</v>
      </c>
      <c r="C64" t="s">
        <v>23</v>
      </c>
      <c r="D64" t="s">
        <v>860</v>
      </c>
      <c r="E64">
        <v>5.8231999999999999</v>
      </c>
      <c r="F64">
        <v>-55.167900000000003</v>
      </c>
      <c r="G64" t="s">
        <v>863</v>
      </c>
      <c r="H64">
        <v>2024</v>
      </c>
      <c r="I64">
        <v>16.229615913027899</v>
      </c>
      <c r="J64">
        <v>0</v>
      </c>
      <c r="K64" t="b">
        <v>1</v>
      </c>
      <c r="L64" t="b">
        <v>1</v>
      </c>
    </row>
    <row r="65" spans="1:17" x14ac:dyDescent="0.35">
      <c r="A65" t="s">
        <v>1026</v>
      </c>
      <c r="B65" t="s">
        <v>15</v>
      </c>
      <c r="C65" t="s">
        <v>16</v>
      </c>
      <c r="D65" t="s">
        <v>1027</v>
      </c>
      <c r="E65">
        <v>-15.398199999999999</v>
      </c>
      <c r="F65">
        <v>28.293700000000001</v>
      </c>
      <c r="G65" t="s">
        <v>1030</v>
      </c>
      <c r="H65">
        <v>2024</v>
      </c>
      <c r="I65">
        <v>14.9856262747939</v>
      </c>
      <c r="J65">
        <v>0</v>
      </c>
      <c r="K65" t="b">
        <v>1</v>
      </c>
      <c r="L65" t="b">
        <v>1</v>
      </c>
    </row>
    <row r="66" spans="1:17" x14ac:dyDescent="0.35">
      <c r="A66" t="s">
        <v>854</v>
      </c>
      <c r="B66" t="s">
        <v>15</v>
      </c>
      <c r="C66" t="s">
        <v>16</v>
      </c>
      <c r="D66" t="s">
        <v>855</v>
      </c>
      <c r="E66">
        <v>0.20618</v>
      </c>
      <c r="F66">
        <v>6.6071</v>
      </c>
      <c r="G66" t="s">
        <v>858</v>
      </c>
      <c r="H66">
        <v>2024</v>
      </c>
      <c r="I66">
        <v>14.3519273571008</v>
      </c>
      <c r="J66">
        <v>0</v>
      </c>
      <c r="K66" t="b">
        <v>1</v>
      </c>
      <c r="L66" t="b">
        <v>1</v>
      </c>
    </row>
    <row r="67" spans="1:17" x14ac:dyDescent="0.35">
      <c r="A67" t="s">
        <v>356</v>
      </c>
      <c r="B67" t="s">
        <v>15</v>
      </c>
      <c r="C67" t="s">
        <v>9</v>
      </c>
      <c r="D67" t="s">
        <v>357</v>
      </c>
      <c r="E67">
        <v>13.4495</v>
      </c>
      <c r="F67">
        <v>-16.5885</v>
      </c>
      <c r="G67" t="s">
        <v>360</v>
      </c>
      <c r="H67">
        <v>2024</v>
      </c>
      <c r="I67">
        <v>11.561053289751101</v>
      </c>
      <c r="J67">
        <v>0</v>
      </c>
      <c r="K67" t="b">
        <v>1</v>
      </c>
      <c r="L67" t="b">
        <v>1</v>
      </c>
    </row>
    <row r="68" spans="1:17" x14ac:dyDescent="0.35">
      <c r="A68" t="s">
        <v>975</v>
      </c>
      <c r="B68" t="s">
        <v>22</v>
      </c>
      <c r="C68" t="s">
        <v>16</v>
      </c>
      <c r="D68" t="s">
        <v>976</v>
      </c>
      <c r="E68">
        <v>41.305199999999999</v>
      </c>
      <c r="F68">
        <v>69.269000000000005</v>
      </c>
      <c r="G68" t="s">
        <v>979</v>
      </c>
      <c r="H68">
        <v>2024</v>
      </c>
      <c r="I68">
        <v>9.6282546595668208</v>
      </c>
      <c r="J68">
        <v>0</v>
      </c>
      <c r="K68" t="b">
        <v>1</v>
      </c>
      <c r="L68" t="b">
        <v>1</v>
      </c>
      <c r="Q68">
        <v>0.4</v>
      </c>
    </row>
    <row r="69" spans="1:17" x14ac:dyDescent="0.35">
      <c r="A69" t="s">
        <v>679</v>
      </c>
      <c r="B69" t="s">
        <v>15</v>
      </c>
      <c r="C69" t="s">
        <v>9</v>
      </c>
      <c r="D69" t="s">
        <v>680</v>
      </c>
      <c r="E69">
        <v>13.513999999999999</v>
      </c>
      <c r="F69">
        <v>2.1073</v>
      </c>
      <c r="G69" t="s">
        <v>683</v>
      </c>
      <c r="H69">
        <v>2024</v>
      </c>
      <c r="I69">
        <v>9.07151997725013</v>
      </c>
      <c r="J69">
        <v>0</v>
      </c>
      <c r="K69" t="b">
        <v>1</v>
      </c>
      <c r="L69" t="b">
        <v>1</v>
      </c>
    </row>
    <row r="70" spans="1:17" x14ac:dyDescent="0.35">
      <c r="A70" t="s">
        <v>898</v>
      </c>
      <c r="B70" t="s">
        <v>15</v>
      </c>
      <c r="C70" t="s">
        <v>9</v>
      </c>
      <c r="D70" t="s">
        <v>899</v>
      </c>
      <c r="E70">
        <v>12.104799999999999</v>
      </c>
      <c r="F70">
        <v>15.044499999999999</v>
      </c>
      <c r="G70" t="s">
        <v>902</v>
      </c>
      <c r="H70">
        <v>2024</v>
      </c>
      <c r="I70">
        <v>8.8995073226375396</v>
      </c>
      <c r="J70">
        <v>0</v>
      </c>
      <c r="K70" t="b">
        <v>1</v>
      </c>
      <c r="L70" t="b">
        <v>1</v>
      </c>
      <c r="Q70">
        <v>0.36</v>
      </c>
    </row>
    <row r="71" spans="1:17" x14ac:dyDescent="0.35">
      <c r="A71" t="s">
        <v>481</v>
      </c>
      <c r="B71" t="s">
        <v>22</v>
      </c>
      <c r="C71" t="s">
        <v>23</v>
      </c>
      <c r="D71" t="s">
        <v>482</v>
      </c>
      <c r="E71">
        <v>51.187899999999999</v>
      </c>
      <c r="F71">
        <v>71.438199999999995</v>
      </c>
      <c r="G71" t="s">
        <v>485</v>
      </c>
      <c r="H71">
        <v>2024</v>
      </c>
      <c r="I71">
        <v>8.69082156104494</v>
      </c>
      <c r="J71">
        <v>0</v>
      </c>
      <c r="K71" t="b">
        <v>1</v>
      </c>
      <c r="L71" t="b">
        <v>1</v>
      </c>
      <c r="Q71">
        <v>0.44</v>
      </c>
    </row>
    <row r="72" spans="1:17" x14ac:dyDescent="0.35">
      <c r="A72" t="s">
        <v>792</v>
      </c>
      <c r="B72" t="s">
        <v>22</v>
      </c>
      <c r="C72" t="s">
        <v>3</v>
      </c>
      <c r="D72" t="s">
        <v>793</v>
      </c>
      <c r="E72">
        <v>55.755800000000001</v>
      </c>
      <c r="F72">
        <v>37.617600000000003</v>
      </c>
      <c r="G72" t="s">
        <v>796</v>
      </c>
      <c r="H72">
        <v>2024</v>
      </c>
      <c r="I72">
        <v>8.4348641049672306</v>
      </c>
      <c r="J72">
        <v>0</v>
      </c>
      <c r="K72" t="b">
        <v>1</v>
      </c>
      <c r="L72" t="b">
        <v>1</v>
      </c>
    </row>
    <row r="73" spans="1:17" x14ac:dyDescent="0.35">
      <c r="A73" t="s">
        <v>531</v>
      </c>
      <c r="B73" t="s">
        <v>15</v>
      </c>
      <c r="C73" t="s">
        <v>9</v>
      </c>
      <c r="D73" t="s">
        <v>532</v>
      </c>
      <c r="E73">
        <v>6.3003900000000002</v>
      </c>
      <c r="F73">
        <v>-10.7957</v>
      </c>
      <c r="G73" t="s">
        <v>535</v>
      </c>
      <c r="H73">
        <v>2024</v>
      </c>
      <c r="I73">
        <v>8.2149743911896405</v>
      </c>
      <c r="J73">
        <v>0</v>
      </c>
      <c r="K73" t="b">
        <v>1</v>
      </c>
      <c r="L73" t="b">
        <v>1</v>
      </c>
    </row>
    <row r="74" spans="1:17" x14ac:dyDescent="0.35">
      <c r="A74" t="s">
        <v>351</v>
      </c>
      <c r="B74" t="s">
        <v>15</v>
      </c>
      <c r="C74" t="s">
        <v>16</v>
      </c>
      <c r="D74" t="s">
        <v>352</v>
      </c>
      <c r="E74">
        <v>9.5166699999999995</v>
      </c>
      <c r="F74">
        <v>-13.7</v>
      </c>
      <c r="G74" t="s">
        <v>355</v>
      </c>
      <c r="H74">
        <v>2024</v>
      </c>
      <c r="I74">
        <v>8.1231391494859597</v>
      </c>
      <c r="J74">
        <v>0</v>
      </c>
      <c r="K74" t="b">
        <v>1</v>
      </c>
      <c r="L74" t="b">
        <v>1</v>
      </c>
    </row>
    <row r="75" spans="1:17" x14ac:dyDescent="0.35">
      <c r="A75" t="s">
        <v>593</v>
      </c>
      <c r="B75" t="s">
        <v>15</v>
      </c>
      <c r="C75" t="s">
        <v>9</v>
      </c>
      <c r="D75" t="s">
        <v>594</v>
      </c>
      <c r="E75">
        <v>-20.466699999999999</v>
      </c>
      <c r="F75">
        <v>45.716700000000003</v>
      </c>
      <c r="G75" t="s">
        <v>597</v>
      </c>
      <c r="H75">
        <v>2024</v>
      </c>
      <c r="I75">
        <v>7.61335784313723</v>
      </c>
      <c r="J75">
        <v>0</v>
      </c>
      <c r="K75" t="b">
        <v>1</v>
      </c>
      <c r="L75" t="b">
        <v>1</v>
      </c>
    </row>
    <row r="76" spans="1:17" x14ac:dyDescent="0.35">
      <c r="A76" t="s">
        <v>936</v>
      </c>
      <c r="B76" t="s">
        <v>8</v>
      </c>
      <c r="C76" t="s">
        <v>16</v>
      </c>
      <c r="D76" t="s">
        <v>937</v>
      </c>
      <c r="E76">
        <v>36.789900000000003</v>
      </c>
      <c r="F76">
        <v>10.210000000000001</v>
      </c>
      <c r="G76" t="s">
        <v>940</v>
      </c>
      <c r="H76">
        <v>2024</v>
      </c>
      <c r="I76">
        <v>7.20661657168794</v>
      </c>
      <c r="J76">
        <v>0</v>
      </c>
      <c r="K76" t="b">
        <v>1</v>
      </c>
      <c r="L76" t="b">
        <v>1</v>
      </c>
    </row>
    <row r="77" spans="1:17" x14ac:dyDescent="0.35">
      <c r="A77" t="s">
        <v>208</v>
      </c>
      <c r="B77" t="s">
        <v>2</v>
      </c>
      <c r="C77" t="s">
        <v>23</v>
      </c>
      <c r="D77" t="s">
        <v>209</v>
      </c>
      <c r="E77">
        <v>4.6098699999999999</v>
      </c>
      <c r="F77">
        <v>-74.081999999999994</v>
      </c>
      <c r="G77" t="s">
        <v>212</v>
      </c>
      <c r="H77">
        <v>2024</v>
      </c>
      <c r="I77">
        <v>6.6090859372822797</v>
      </c>
      <c r="J77">
        <v>0</v>
      </c>
      <c r="K77" t="b">
        <v>1</v>
      </c>
      <c r="L77" t="b">
        <v>1</v>
      </c>
    </row>
    <row r="78" spans="1:17" x14ac:dyDescent="0.35">
      <c r="A78" t="s">
        <v>960</v>
      </c>
      <c r="B78" t="s">
        <v>22</v>
      </c>
      <c r="C78" t="s">
        <v>23</v>
      </c>
      <c r="D78" t="s">
        <v>961</v>
      </c>
      <c r="E78">
        <v>50.453600000000002</v>
      </c>
      <c r="F78">
        <v>30.503799999999998</v>
      </c>
      <c r="G78" t="s">
        <v>964</v>
      </c>
      <c r="H78">
        <v>2024</v>
      </c>
      <c r="I78">
        <v>6.5019846466925397</v>
      </c>
      <c r="J78">
        <v>0</v>
      </c>
      <c r="K78" t="b">
        <v>1</v>
      </c>
      <c r="L78" t="b">
        <v>1</v>
      </c>
    </row>
    <row r="79" spans="1:17" x14ac:dyDescent="0.35">
      <c r="A79" t="s">
        <v>52</v>
      </c>
      <c r="B79" t="s">
        <v>2</v>
      </c>
      <c r="C79" t="s">
        <v>3</v>
      </c>
      <c r="D79" t="s">
        <v>53</v>
      </c>
      <c r="E79">
        <v>17.1175</v>
      </c>
      <c r="F79">
        <v>-61.845599999999997</v>
      </c>
      <c r="G79" t="s">
        <v>56</v>
      </c>
      <c r="H79">
        <v>2024</v>
      </c>
      <c r="I79">
        <v>6.1988669884211598</v>
      </c>
      <c r="J79">
        <v>0</v>
      </c>
      <c r="K79" t="b">
        <v>1</v>
      </c>
      <c r="L79" t="b">
        <v>1</v>
      </c>
    </row>
    <row r="80" spans="1:17" x14ac:dyDescent="0.35">
      <c r="A80" t="s">
        <v>113</v>
      </c>
      <c r="B80" t="s">
        <v>22</v>
      </c>
      <c r="C80" t="s">
        <v>23</v>
      </c>
      <c r="D80" t="s">
        <v>114</v>
      </c>
      <c r="E80">
        <v>43.860700000000001</v>
      </c>
      <c r="F80">
        <v>18.421399999999998</v>
      </c>
      <c r="G80" t="s">
        <v>117</v>
      </c>
      <c r="H80">
        <v>2023</v>
      </c>
      <c r="I80">
        <v>6.1059011284827998</v>
      </c>
      <c r="J80">
        <v>0</v>
      </c>
      <c r="K80" t="b">
        <v>1</v>
      </c>
      <c r="L80" t="b">
        <v>1</v>
      </c>
    </row>
    <row r="81" spans="1:19" x14ac:dyDescent="0.35">
      <c r="A81" t="s">
        <v>555</v>
      </c>
      <c r="B81" t="s">
        <v>15</v>
      </c>
      <c r="C81" t="s">
        <v>16</v>
      </c>
      <c r="D81" t="s">
        <v>556</v>
      </c>
      <c r="E81">
        <v>-29.520800000000001</v>
      </c>
      <c r="F81">
        <v>27.716699999999999</v>
      </c>
      <c r="G81" t="s">
        <v>559</v>
      </c>
      <c r="H81">
        <v>2024</v>
      </c>
      <c r="I81">
        <v>6.10544624245032</v>
      </c>
      <c r="J81">
        <v>0</v>
      </c>
      <c r="K81" t="b">
        <v>1</v>
      </c>
      <c r="L81" t="b">
        <v>1</v>
      </c>
    </row>
    <row r="82" spans="1:19" x14ac:dyDescent="0.35">
      <c r="A82" t="s">
        <v>118</v>
      </c>
      <c r="B82" t="s">
        <v>22</v>
      </c>
      <c r="C82" t="s">
        <v>23</v>
      </c>
      <c r="D82" t="s">
        <v>119</v>
      </c>
      <c r="E82">
        <v>53.967799999999997</v>
      </c>
      <c r="F82">
        <v>27.576599999999999</v>
      </c>
      <c r="G82" t="s">
        <v>122</v>
      </c>
      <c r="H82">
        <v>2024</v>
      </c>
      <c r="I82">
        <v>5.7853191042800498</v>
      </c>
      <c r="J82">
        <v>0</v>
      </c>
      <c r="K82" t="b">
        <v>1</v>
      </c>
      <c r="L82" t="b">
        <v>1</v>
      </c>
    </row>
    <row r="83" spans="1:19" x14ac:dyDescent="0.35">
      <c r="A83" t="s">
        <v>787</v>
      </c>
      <c r="B83" t="s">
        <v>22</v>
      </c>
      <c r="C83" t="s">
        <v>3</v>
      </c>
      <c r="D83" t="s">
        <v>788</v>
      </c>
      <c r="E83">
        <v>44.447899999999997</v>
      </c>
      <c r="F83">
        <v>26.097899999999999</v>
      </c>
      <c r="G83" t="s">
        <v>791</v>
      </c>
      <c r="H83">
        <v>2024</v>
      </c>
      <c r="I83">
        <v>5.7214057435443904</v>
      </c>
      <c r="J83">
        <v>0</v>
      </c>
      <c r="K83" t="b">
        <v>1</v>
      </c>
      <c r="L83" t="b">
        <v>1</v>
      </c>
    </row>
    <row r="84" spans="1:19" x14ac:dyDescent="0.35">
      <c r="A84" t="s">
        <v>466</v>
      </c>
      <c r="B84" t="s">
        <v>2</v>
      </c>
      <c r="C84" t="s">
        <v>23</v>
      </c>
      <c r="D84" t="s">
        <v>467</v>
      </c>
      <c r="E84">
        <v>17.992699999999999</v>
      </c>
      <c r="F84">
        <v>-76.792000000000002</v>
      </c>
      <c r="G84" t="s">
        <v>470</v>
      </c>
      <c r="H84">
        <v>2024</v>
      </c>
      <c r="I84">
        <v>5.4119444798165901</v>
      </c>
      <c r="J84">
        <v>0</v>
      </c>
      <c r="K84" t="b">
        <v>1</v>
      </c>
      <c r="L84" t="b">
        <v>1</v>
      </c>
    </row>
    <row r="85" spans="1:19" x14ac:dyDescent="0.35">
      <c r="A85" t="s">
        <v>325</v>
      </c>
      <c r="B85" t="s">
        <v>48</v>
      </c>
      <c r="C85" t="s">
        <v>23</v>
      </c>
      <c r="D85" t="s">
        <v>326</v>
      </c>
      <c r="E85">
        <v>6.9177099999999996</v>
      </c>
      <c r="F85">
        <v>158.185</v>
      </c>
      <c r="G85" t="s">
        <v>329</v>
      </c>
      <c r="H85">
        <v>2022</v>
      </c>
      <c r="I85">
        <v>5.4087437547906703</v>
      </c>
      <c r="J85">
        <v>0</v>
      </c>
      <c r="K85" t="b">
        <v>1</v>
      </c>
      <c r="L85" t="b">
        <v>1</v>
      </c>
    </row>
    <row r="86" spans="1:19" x14ac:dyDescent="0.35">
      <c r="A86" t="s">
        <v>133</v>
      </c>
      <c r="B86" t="s">
        <v>2</v>
      </c>
      <c r="C86" t="s">
        <v>16</v>
      </c>
      <c r="D86" t="s">
        <v>134</v>
      </c>
      <c r="E86">
        <v>-13.9908</v>
      </c>
      <c r="F86">
        <v>-66.193600000000004</v>
      </c>
      <c r="G86" t="s">
        <v>137</v>
      </c>
      <c r="H86">
        <v>2024</v>
      </c>
      <c r="I86">
        <v>5.0997656831742697</v>
      </c>
      <c r="J86">
        <v>0</v>
      </c>
      <c r="K86" t="b">
        <v>1</v>
      </c>
      <c r="L86" t="b">
        <v>1</v>
      </c>
    </row>
    <row r="87" spans="1:19" x14ac:dyDescent="0.35">
      <c r="A87" t="s">
        <v>213</v>
      </c>
      <c r="B87" t="s">
        <v>15</v>
      </c>
      <c r="C87" t="s">
        <v>16</v>
      </c>
      <c r="D87" t="s">
        <v>214</v>
      </c>
      <c r="E87">
        <v>-11.698600000000001</v>
      </c>
      <c r="F87">
        <v>43.241799999999998</v>
      </c>
      <c r="G87" t="s">
        <v>217</v>
      </c>
      <c r="H87">
        <v>2024</v>
      </c>
      <c r="I87">
        <v>5.0519260958821803</v>
      </c>
      <c r="J87">
        <v>0</v>
      </c>
      <c r="K87" t="b">
        <v>1</v>
      </c>
      <c r="L87" t="b">
        <v>1</v>
      </c>
    </row>
    <row r="88" spans="1:19" x14ac:dyDescent="0.35">
      <c r="A88" t="s">
        <v>491</v>
      </c>
      <c r="B88" t="s">
        <v>22</v>
      </c>
      <c r="C88" t="s">
        <v>16</v>
      </c>
      <c r="D88" t="s">
        <v>492</v>
      </c>
      <c r="E88">
        <v>42.885100000000001</v>
      </c>
      <c r="F88">
        <v>74.605699999999999</v>
      </c>
      <c r="G88" t="s">
        <v>495</v>
      </c>
      <c r="H88">
        <v>2024</v>
      </c>
      <c r="I88">
        <v>4.9976070120732299</v>
      </c>
      <c r="J88">
        <v>0</v>
      </c>
      <c r="K88" t="b">
        <v>1</v>
      </c>
      <c r="L88" t="b">
        <v>1</v>
      </c>
    </row>
    <row r="89" spans="1:19" x14ac:dyDescent="0.35">
      <c r="A89" t="s">
        <v>965</v>
      </c>
      <c r="B89" t="s">
        <v>2</v>
      </c>
      <c r="C89" t="s">
        <v>3</v>
      </c>
      <c r="D89" t="s">
        <v>966</v>
      </c>
      <c r="E89">
        <v>-34.894100000000002</v>
      </c>
      <c r="F89">
        <v>-56.067500000000003</v>
      </c>
      <c r="G89" t="s">
        <v>969</v>
      </c>
      <c r="H89">
        <v>2024</v>
      </c>
      <c r="I89">
        <v>4.8491436661315603</v>
      </c>
      <c r="J89">
        <v>0</v>
      </c>
      <c r="K89" t="b">
        <v>1</v>
      </c>
      <c r="L89" t="b">
        <v>1</v>
      </c>
    </row>
    <row r="90" spans="1:19" x14ac:dyDescent="0.35">
      <c r="A90" t="s">
        <v>588</v>
      </c>
      <c r="B90" t="s">
        <v>22</v>
      </c>
      <c r="C90" t="s">
        <v>23</v>
      </c>
      <c r="D90" t="s">
        <v>589</v>
      </c>
      <c r="E90">
        <v>47.0167</v>
      </c>
      <c r="F90">
        <v>28.849699999999999</v>
      </c>
      <c r="G90" t="s">
        <v>592</v>
      </c>
      <c r="H90">
        <v>2024</v>
      </c>
      <c r="I90">
        <v>4.6777351600704797</v>
      </c>
      <c r="J90">
        <v>0</v>
      </c>
      <c r="K90" t="b">
        <v>1</v>
      </c>
      <c r="L90" t="b">
        <v>1</v>
      </c>
    </row>
    <row r="91" spans="1:19" x14ac:dyDescent="0.35">
      <c r="A91" t="s">
        <v>844</v>
      </c>
      <c r="B91" t="s">
        <v>22</v>
      </c>
      <c r="C91" t="s">
        <v>23</v>
      </c>
      <c r="D91" t="s">
        <v>845</v>
      </c>
      <c r="E91">
        <v>44.802399999999999</v>
      </c>
      <c r="F91">
        <v>20.465599999999998</v>
      </c>
      <c r="G91" t="s">
        <v>848</v>
      </c>
      <c r="H91">
        <v>2024</v>
      </c>
      <c r="I91">
        <v>4.6705297488996997</v>
      </c>
      <c r="J91">
        <v>0</v>
      </c>
      <c r="K91" t="b">
        <v>1</v>
      </c>
      <c r="L91" t="b">
        <v>1</v>
      </c>
    </row>
    <row r="92" spans="1:19" x14ac:dyDescent="0.35">
      <c r="A92" t="s">
        <v>689</v>
      </c>
      <c r="B92" t="s">
        <v>2</v>
      </c>
      <c r="C92" t="s">
        <v>16</v>
      </c>
      <c r="D92" t="s">
        <v>690</v>
      </c>
      <c r="E92">
        <v>12.147500000000001</v>
      </c>
      <c r="F92">
        <v>-86.273399999999995</v>
      </c>
      <c r="G92" t="s">
        <v>693</v>
      </c>
      <c r="H92">
        <v>2024</v>
      </c>
      <c r="I92">
        <v>4.6247384105714104</v>
      </c>
      <c r="J92">
        <v>0</v>
      </c>
      <c r="K92" t="b">
        <v>1</v>
      </c>
      <c r="L92" t="b">
        <v>1</v>
      </c>
      <c r="R92">
        <v>0.21</v>
      </c>
      <c r="S92">
        <v>9.02</v>
      </c>
    </row>
    <row r="93" spans="1:19" x14ac:dyDescent="0.35">
      <c r="A93" t="s">
        <v>403</v>
      </c>
      <c r="B93" t="s">
        <v>2</v>
      </c>
      <c r="C93" t="s">
        <v>16</v>
      </c>
      <c r="D93" t="s">
        <v>404</v>
      </c>
      <c r="E93">
        <v>15.1333</v>
      </c>
      <c r="F93">
        <v>-87.466700000000003</v>
      </c>
      <c r="G93" t="s">
        <v>407</v>
      </c>
      <c r="H93">
        <v>2024</v>
      </c>
      <c r="I93">
        <v>4.6062109812710101</v>
      </c>
      <c r="J93">
        <v>0</v>
      </c>
      <c r="K93" t="b">
        <v>1</v>
      </c>
      <c r="L93" t="b">
        <v>1</v>
      </c>
    </row>
    <row r="94" spans="1:19" x14ac:dyDescent="0.35">
      <c r="A94" t="s">
        <v>194</v>
      </c>
      <c r="B94" t="s">
        <v>15</v>
      </c>
      <c r="C94" t="s">
        <v>16</v>
      </c>
      <c r="D94" t="s">
        <v>195</v>
      </c>
      <c r="E94">
        <v>3.8721000000000001</v>
      </c>
      <c r="F94">
        <v>11.5174</v>
      </c>
      <c r="G94" t="s">
        <v>198</v>
      </c>
      <c r="H94">
        <v>2024</v>
      </c>
      <c r="I94">
        <v>4.53331349711606</v>
      </c>
      <c r="J94">
        <v>0</v>
      </c>
      <c r="K94" t="b">
        <v>1</v>
      </c>
      <c r="L94" t="b">
        <v>1</v>
      </c>
    </row>
    <row r="95" spans="1:19" x14ac:dyDescent="0.35">
      <c r="A95" t="s">
        <v>486</v>
      </c>
      <c r="B95" t="s">
        <v>15</v>
      </c>
      <c r="C95" t="s">
        <v>16</v>
      </c>
      <c r="D95" t="s">
        <v>487</v>
      </c>
      <c r="E95">
        <v>-1.2797499999999999</v>
      </c>
      <c r="F95">
        <v>36.812600000000003</v>
      </c>
      <c r="G95" t="s">
        <v>490</v>
      </c>
      <c r="H95">
        <v>2024</v>
      </c>
      <c r="I95">
        <v>4.4897885424344803</v>
      </c>
      <c r="J95">
        <v>0</v>
      </c>
      <c r="K95" t="b">
        <v>1</v>
      </c>
      <c r="L95" t="b">
        <v>1</v>
      </c>
    </row>
    <row r="96" spans="1:19" x14ac:dyDescent="0.35">
      <c r="A96" t="s">
        <v>821</v>
      </c>
      <c r="B96" t="s">
        <v>48</v>
      </c>
      <c r="C96" t="s">
        <v>16</v>
      </c>
      <c r="D96" t="s">
        <v>822</v>
      </c>
      <c r="E96">
        <v>-9.4267599999999998</v>
      </c>
      <c r="F96">
        <v>159.94900000000001</v>
      </c>
      <c r="G96" t="s">
        <v>825</v>
      </c>
      <c r="H96">
        <v>2024</v>
      </c>
      <c r="I96">
        <v>4.3218394838803302</v>
      </c>
      <c r="J96">
        <v>0</v>
      </c>
      <c r="K96" t="b">
        <v>1</v>
      </c>
      <c r="L96" t="b">
        <v>1</v>
      </c>
    </row>
    <row r="97" spans="1:12" x14ac:dyDescent="0.35">
      <c r="A97" t="s">
        <v>179</v>
      </c>
      <c r="B97" t="s">
        <v>2</v>
      </c>
      <c r="C97" t="s">
        <v>3</v>
      </c>
      <c r="D97" t="s">
        <v>180</v>
      </c>
      <c r="E97">
        <v>-33.475000000000001</v>
      </c>
      <c r="F97">
        <v>-70.647499999999994</v>
      </c>
      <c r="G97" t="s">
        <v>183</v>
      </c>
      <c r="H97">
        <v>2024</v>
      </c>
      <c r="I97">
        <v>4.2976389157252397</v>
      </c>
      <c r="J97">
        <v>0</v>
      </c>
      <c r="K97" t="b">
        <v>1</v>
      </c>
      <c r="L97" t="b">
        <v>1</v>
      </c>
    </row>
    <row r="98" spans="1:12" x14ac:dyDescent="0.35">
      <c r="A98" t="s">
        <v>670</v>
      </c>
      <c r="B98" t="s">
        <v>15</v>
      </c>
      <c r="C98" t="s">
        <v>16</v>
      </c>
      <c r="D98" t="s">
        <v>671</v>
      </c>
      <c r="E98">
        <v>-22.564800000000002</v>
      </c>
      <c r="F98">
        <v>17.0931</v>
      </c>
      <c r="G98" t="s">
        <v>674</v>
      </c>
      <c r="H98">
        <v>2024</v>
      </c>
      <c r="I98">
        <v>4.23903922877036</v>
      </c>
      <c r="J98">
        <v>0</v>
      </c>
      <c r="K98" t="b">
        <v>1</v>
      </c>
      <c r="L98" t="b">
        <v>1</v>
      </c>
    </row>
    <row r="99" spans="1:12" x14ac:dyDescent="0.35">
      <c r="A99" t="s">
        <v>87</v>
      </c>
      <c r="B99" t="s">
        <v>15</v>
      </c>
      <c r="C99" t="s">
        <v>9</v>
      </c>
      <c r="D99" t="s">
        <v>88</v>
      </c>
      <c r="E99">
        <v>12.3605</v>
      </c>
      <c r="F99">
        <v>-1.5339499999999999</v>
      </c>
      <c r="G99" t="s">
        <v>91</v>
      </c>
      <c r="H99">
        <v>2024</v>
      </c>
      <c r="I99">
        <v>4.1908172134452304</v>
      </c>
      <c r="J99">
        <v>0</v>
      </c>
      <c r="K99" t="b">
        <v>1</v>
      </c>
      <c r="L99" t="b">
        <v>1</v>
      </c>
    </row>
    <row r="100" spans="1:12" x14ac:dyDescent="0.35">
      <c r="A100" t="s">
        <v>645</v>
      </c>
      <c r="B100" t="s">
        <v>15</v>
      </c>
      <c r="C100" t="s">
        <v>9</v>
      </c>
      <c r="D100" t="s">
        <v>646</v>
      </c>
      <c r="E100">
        <v>-25.9664</v>
      </c>
      <c r="F100">
        <v>32.571300000000001</v>
      </c>
      <c r="G100" t="s">
        <v>649</v>
      </c>
      <c r="H100">
        <v>2024</v>
      </c>
      <c r="I100">
        <v>4.0785683481202204</v>
      </c>
      <c r="J100">
        <v>0</v>
      </c>
      <c r="K100" t="b">
        <v>1</v>
      </c>
      <c r="L100" t="b">
        <v>1</v>
      </c>
    </row>
    <row r="101" spans="1:12" x14ac:dyDescent="0.35">
      <c r="A101" t="s">
        <v>272</v>
      </c>
      <c r="B101" t="s">
        <v>8</v>
      </c>
      <c r="C101" t="s">
        <v>23</v>
      </c>
      <c r="D101" t="s">
        <v>273</v>
      </c>
      <c r="E101">
        <v>36.739699999999999</v>
      </c>
      <c r="F101">
        <v>3.05097</v>
      </c>
      <c r="G101" t="s">
        <v>276</v>
      </c>
      <c r="H101">
        <v>2024</v>
      </c>
      <c r="I101">
        <v>4.0461145531343403</v>
      </c>
      <c r="J101">
        <v>0</v>
      </c>
      <c r="K101" t="b">
        <v>1</v>
      </c>
      <c r="L101" t="b">
        <v>1</v>
      </c>
    </row>
    <row r="102" spans="1:12" x14ac:dyDescent="0.35">
      <c r="A102" t="s">
        <v>311</v>
      </c>
      <c r="B102" t="s">
        <v>48</v>
      </c>
      <c r="C102" t="s">
        <v>23</v>
      </c>
      <c r="D102" t="s">
        <v>312</v>
      </c>
      <c r="E102">
        <v>-18.114899999999999</v>
      </c>
      <c r="F102">
        <v>178.399</v>
      </c>
      <c r="G102" t="s">
        <v>315</v>
      </c>
      <c r="H102">
        <v>2024</v>
      </c>
      <c r="I102">
        <v>3.8908423788410502</v>
      </c>
      <c r="J102">
        <v>0</v>
      </c>
      <c r="K102" t="b">
        <v>1</v>
      </c>
      <c r="L102" t="b">
        <v>1</v>
      </c>
    </row>
    <row r="103" spans="1:12" x14ac:dyDescent="0.35">
      <c r="A103" t="s">
        <v>771</v>
      </c>
      <c r="B103" t="s">
        <v>2</v>
      </c>
      <c r="C103" t="s">
        <v>23</v>
      </c>
      <c r="D103" t="s">
        <v>772</v>
      </c>
      <c r="E103">
        <v>-25.3005</v>
      </c>
      <c r="F103">
        <v>-57.636200000000002</v>
      </c>
      <c r="G103" t="s">
        <v>775</v>
      </c>
      <c r="H103">
        <v>2024</v>
      </c>
      <c r="I103">
        <v>3.83540271728533</v>
      </c>
      <c r="J103">
        <v>0</v>
      </c>
      <c r="K103" t="b">
        <v>1</v>
      </c>
      <c r="L103" t="b">
        <v>1</v>
      </c>
    </row>
    <row r="104" spans="1:12" x14ac:dyDescent="0.35">
      <c r="A104" t="s">
        <v>361</v>
      </c>
      <c r="B104" t="s">
        <v>15</v>
      </c>
      <c r="C104" t="s">
        <v>9</v>
      </c>
      <c r="D104" t="s">
        <v>362</v>
      </c>
      <c r="E104">
        <v>11.803699999999999</v>
      </c>
      <c r="F104">
        <v>-15.180400000000001</v>
      </c>
      <c r="G104" t="s">
        <v>365</v>
      </c>
      <c r="H104">
        <v>2024</v>
      </c>
      <c r="I104">
        <v>3.7655582577011399</v>
      </c>
      <c r="J104">
        <v>0</v>
      </c>
      <c r="K104" t="b">
        <v>1</v>
      </c>
      <c r="L104" t="b">
        <v>1</v>
      </c>
    </row>
    <row r="105" spans="1:12" x14ac:dyDescent="0.35">
      <c r="A105" t="s">
        <v>418</v>
      </c>
      <c r="B105" t="s">
        <v>22</v>
      </c>
      <c r="C105" t="s">
        <v>3</v>
      </c>
      <c r="D105" t="s">
        <v>419</v>
      </c>
      <c r="E105">
        <v>47.498399999999997</v>
      </c>
      <c r="F105">
        <v>19.040800000000001</v>
      </c>
      <c r="G105" t="s">
        <v>422</v>
      </c>
      <c r="H105">
        <v>2024</v>
      </c>
      <c r="I105">
        <v>3.70370370370369</v>
      </c>
      <c r="J105">
        <v>0</v>
      </c>
      <c r="K105" t="b">
        <v>1</v>
      </c>
      <c r="L105" t="b">
        <v>1</v>
      </c>
    </row>
    <row r="106" spans="1:12" x14ac:dyDescent="0.35">
      <c r="A106" t="s">
        <v>980</v>
      </c>
      <c r="B106" t="s">
        <v>2</v>
      </c>
      <c r="C106" t="s">
        <v>23</v>
      </c>
      <c r="D106" t="s">
        <v>981</v>
      </c>
      <c r="E106">
        <v>13.2035</v>
      </c>
      <c r="F106">
        <v>-61.265300000000003</v>
      </c>
      <c r="G106" t="s">
        <v>984</v>
      </c>
      <c r="H106">
        <v>2024</v>
      </c>
      <c r="I106">
        <v>3.6277073694092699</v>
      </c>
      <c r="J106">
        <v>0</v>
      </c>
      <c r="K106" t="b">
        <v>1</v>
      </c>
      <c r="L106" t="b">
        <v>1</v>
      </c>
    </row>
    <row r="107" spans="1:12" x14ac:dyDescent="0.35">
      <c r="A107" t="s">
        <v>997</v>
      </c>
      <c r="B107" t="s">
        <v>48</v>
      </c>
      <c r="C107" t="s">
        <v>23</v>
      </c>
      <c r="D107" t="s">
        <v>998</v>
      </c>
      <c r="E107">
        <v>21.006900000000002</v>
      </c>
      <c r="F107">
        <v>105.825</v>
      </c>
      <c r="G107" t="s">
        <v>1001</v>
      </c>
      <c r="H107">
        <v>2024</v>
      </c>
      <c r="I107">
        <v>3.6210927388584402</v>
      </c>
      <c r="J107">
        <v>0</v>
      </c>
      <c r="K107" t="b">
        <v>1</v>
      </c>
      <c r="L107" t="b">
        <v>1</v>
      </c>
    </row>
    <row r="108" spans="1:12" x14ac:dyDescent="0.35">
      <c r="A108" t="s">
        <v>655</v>
      </c>
      <c r="B108" t="s">
        <v>15</v>
      </c>
      <c r="C108" t="s">
        <v>23</v>
      </c>
      <c r="D108" t="s">
        <v>656</v>
      </c>
      <c r="E108">
        <v>-20.160499999999999</v>
      </c>
      <c r="F108">
        <v>57.497700000000002</v>
      </c>
      <c r="G108" t="s">
        <v>659</v>
      </c>
      <c r="H108">
        <v>2024</v>
      </c>
      <c r="I108">
        <v>3.6045220384796002</v>
      </c>
      <c r="J108">
        <v>0</v>
      </c>
      <c r="K108" t="b">
        <v>1</v>
      </c>
      <c r="L108" t="b">
        <v>1</v>
      </c>
    </row>
    <row r="109" spans="1:12" x14ac:dyDescent="0.35">
      <c r="A109" t="s">
        <v>506</v>
      </c>
      <c r="B109" t="s">
        <v>2</v>
      </c>
      <c r="C109" t="s">
        <v>3</v>
      </c>
      <c r="D109" t="s">
        <v>507</v>
      </c>
      <c r="E109">
        <v>17.3</v>
      </c>
      <c r="F109">
        <v>-62.730899999999998</v>
      </c>
      <c r="G109" t="s">
        <v>510</v>
      </c>
      <c r="H109">
        <v>2023</v>
      </c>
      <c r="I109">
        <v>3.5571123084824299</v>
      </c>
      <c r="J109">
        <v>0</v>
      </c>
      <c r="K109" t="b">
        <v>1</v>
      </c>
      <c r="L109" t="b">
        <v>1</v>
      </c>
    </row>
    <row r="110" spans="1:12" x14ac:dyDescent="0.35">
      <c r="A110" t="s">
        <v>296</v>
      </c>
      <c r="B110" t="s">
        <v>22</v>
      </c>
      <c r="C110" t="s">
        <v>3</v>
      </c>
      <c r="D110" t="s">
        <v>297</v>
      </c>
      <c r="E110">
        <v>59.4392</v>
      </c>
      <c r="F110">
        <v>24.758600000000001</v>
      </c>
      <c r="G110" t="s">
        <v>300</v>
      </c>
      <c r="H110">
        <v>2024</v>
      </c>
      <c r="I110">
        <v>3.5194118998391999</v>
      </c>
      <c r="J110">
        <v>0</v>
      </c>
      <c r="K110" t="b">
        <v>1</v>
      </c>
      <c r="L110" t="b">
        <v>1</v>
      </c>
    </row>
    <row r="111" spans="1:12" x14ac:dyDescent="0.35">
      <c r="A111" t="s">
        <v>612</v>
      </c>
      <c r="B111" t="s">
        <v>22</v>
      </c>
      <c r="C111" t="s">
        <v>23</v>
      </c>
      <c r="D111" t="s">
        <v>613</v>
      </c>
      <c r="E111">
        <v>42.002400000000002</v>
      </c>
      <c r="F111">
        <v>21.4361</v>
      </c>
      <c r="G111" t="s">
        <v>616</v>
      </c>
      <c r="H111">
        <v>2024</v>
      </c>
      <c r="I111">
        <v>3.4897408602695399</v>
      </c>
      <c r="J111">
        <v>0</v>
      </c>
      <c r="K111" t="b">
        <v>1</v>
      </c>
      <c r="L111" t="b">
        <v>1</v>
      </c>
    </row>
    <row r="112" spans="1:12" x14ac:dyDescent="0.35">
      <c r="A112" t="s">
        <v>189</v>
      </c>
      <c r="B112" t="s">
        <v>15</v>
      </c>
      <c r="C112" t="s">
        <v>16</v>
      </c>
      <c r="D112" t="s">
        <v>190</v>
      </c>
      <c r="E112">
        <v>5.3319999999999999</v>
      </c>
      <c r="F112">
        <v>-4.0305</v>
      </c>
      <c r="G112" t="s">
        <v>193</v>
      </c>
      <c r="H112">
        <v>2024</v>
      </c>
      <c r="I112">
        <v>3.4505302813101899</v>
      </c>
      <c r="J112">
        <v>0</v>
      </c>
      <c r="K112" t="b">
        <v>1</v>
      </c>
      <c r="L112" t="b">
        <v>1</v>
      </c>
    </row>
    <row r="113" spans="1:19" x14ac:dyDescent="0.35">
      <c r="A113" t="s">
        <v>694</v>
      </c>
      <c r="B113" t="s">
        <v>22</v>
      </c>
      <c r="C113" t="s">
        <v>3</v>
      </c>
      <c r="D113" t="s">
        <v>695</v>
      </c>
      <c r="E113">
        <v>52.373800000000003</v>
      </c>
      <c r="F113">
        <v>4.8909500000000001</v>
      </c>
      <c r="G113" t="s">
        <v>698</v>
      </c>
      <c r="H113">
        <v>2024</v>
      </c>
      <c r="I113">
        <v>3.34754304219953</v>
      </c>
      <c r="J113">
        <v>0</v>
      </c>
      <c r="K113" t="b">
        <v>1</v>
      </c>
      <c r="L113" t="b">
        <v>1</v>
      </c>
      <c r="R113">
        <v>5.67</v>
      </c>
      <c r="S113">
        <v>139.68</v>
      </c>
    </row>
    <row r="114" spans="1:19" x14ac:dyDescent="0.35">
      <c r="A114" t="s">
        <v>631</v>
      </c>
      <c r="B114" t="s">
        <v>22</v>
      </c>
      <c r="C114" t="s">
        <v>23</v>
      </c>
      <c r="D114" t="s">
        <v>632</v>
      </c>
      <c r="E114">
        <v>42.4602</v>
      </c>
      <c r="F114">
        <v>19.259499999999999</v>
      </c>
      <c r="G114" t="s">
        <v>635</v>
      </c>
      <c r="H114">
        <v>2024</v>
      </c>
      <c r="I114">
        <v>3.3367500928228102</v>
      </c>
      <c r="J114">
        <v>0</v>
      </c>
      <c r="K114" t="b">
        <v>1</v>
      </c>
      <c r="L114" t="b">
        <v>1</v>
      </c>
    </row>
    <row r="115" spans="1:19" x14ac:dyDescent="0.35">
      <c r="A115" t="s">
        <v>955</v>
      </c>
      <c r="B115" t="s">
        <v>15</v>
      </c>
      <c r="C115" t="s">
        <v>9</v>
      </c>
      <c r="D115" t="s">
        <v>956</v>
      </c>
      <c r="E115">
        <v>0.31426900000000002</v>
      </c>
      <c r="F115">
        <v>32.572899999999997</v>
      </c>
      <c r="G115" t="s">
        <v>959</v>
      </c>
      <c r="H115">
        <v>2024</v>
      </c>
      <c r="I115">
        <v>3.32338033691819</v>
      </c>
      <c r="J115">
        <v>0</v>
      </c>
      <c r="K115" t="b">
        <v>1</v>
      </c>
      <c r="L115" t="b">
        <v>1</v>
      </c>
    </row>
    <row r="116" spans="1:19" x14ac:dyDescent="0.35">
      <c r="A116" t="s">
        <v>267</v>
      </c>
      <c r="B116" t="s">
        <v>2</v>
      </c>
      <c r="C116" t="s">
        <v>23</v>
      </c>
      <c r="D116" t="s">
        <v>268</v>
      </c>
      <c r="E116">
        <v>18.478999999999999</v>
      </c>
      <c r="F116">
        <v>-69.890799999999999</v>
      </c>
      <c r="G116" t="s">
        <v>271</v>
      </c>
      <c r="H116">
        <v>2024</v>
      </c>
      <c r="I116">
        <v>3.3022333895122702</v>
      </c>
      <c r="J116">
        <v>0</v>
      </c>
      <c r="K116" t="b">
        <v>1</v>
      </c>
      <c r="L116" t="b">
        <v>1</v>
      </c>
    </row>
    <row r="117" spans="1:19" x14ac:dyDescent="0.35">
      <c r="A117" t="s">
        <v>123</v>
      </c>
      <c r="B117" t="s">
        <v>2</v>
      </c>
      <c r="C117" t="s">
        <v>23</v>
      </c>
      <c r="D117" t="s">
        <v>124</v>
      </c>
      <c r="E117">
        <v>17.253399999999999</v>
      </c>
      <c r="F117">
        <v>-88.771299999999997</v>
      </c>
      <c r="G117" t="s">
        <v>127</v>
      </c>
      <c r="H117">
        <v>2024</v>
      </c>
      <c r="I117">
        <v>3.2895598595276798</v>
      </c>
      <c r="J117">
        <v>0</v>
      </c>
      <c r="K117" t="b">
        <v>1</v>
      </c>
      <c r="L117" t="b">
        <v>1</v>
      </c>
    </row>
    <row r="118" spans="1:19" x14ac:dyDescent="0.35">
      <c r="A118" t="s">
        <v>617</v>
      </c>
      <c r="B118" t="s">
        <v>15</v>
      </c>
      <c r="C118" t="s">
        <v>9</v>
      </c>
      <c r="D118" t="s">
        <v>618</v>
      </c>
      <c r="E118">
        <v>13.566700000000001</v>
      </c>
      <c r="F118">
        <v>-7.5003399999999996</v>
      </c>
      <c r="G118" t="s">
        <v>621</v>
      </c>
      <c r="H118">
        <v>2024</v>
      </c>
      <c r="I118">
        <v>3.2063986409965999</v>
      </c>
      <c r="J118">
        <v>0</v>
      </c>
      <c r="K118" t="b">
        <v>1</v>
      </c>
      <c r="L118" t="b">
        <v>1</v>
      </c>
    </row>
    <row r="119" spans="1:19" x14ac:dyDescent="0.35">
      <c r="A119" t="s">
        <v>926</v>
      </c>
      <c r="B119" t="s">
        <v>48</v>
      </c>
      <c r="C119" t="s">
        <v>23</v>
      </c>
      <c r="D119" t="s">
        <v>927</v>
      </c>
      <c r="E119">
        <v>-21.135999999999999</v>
      </c>
      <c r="F119">
        <v>-175.21600000000001</v>
      </c>
      <c r="G119" t="s">
        <v>930</v>
      </c>
      <c r="H119">
        <v>2024</v>
      </c>
      <c r="I119">
        <v>3.1818892423747198</v>
      </c>
      <c r="J119">
        <v>0</v>
      </c>
      <c r="K119" t="b">
        <v>1</v>
      </c>
      <c r="L119" t="b">
        <v>1</v>
      </c>
    </row>
    <row r="120" spans="1:19" x14ac:dyDescent="0.35">
      <c r="A120" t="s">
        <v>77</v>
      </c>
      <c r="B120" t="s">
        <v>22</v>
      </c>
      <c r="C120" t="s">
        <v>3</v>
      </c>
      <c r="D120" t="s">
        <v>78</v>
      </c>
      <c r="E120">
        <v>50.8371</v>
      </c>
      <c r="F120">
        <v>4.36761</v>
      </c>
      <c r="G120" t="s">
        <v>81</v>
      </c>
      <c r="H120">
        <v>2024</v>
      </c>
      <c r="I120">
        <v>3.1434913650004099</v>
      </c>
      <c r="J120">
        <v>0</v>
      </c>
      <c r="K120" t="b">
        <v>1</v>
      </c>
      <c r="L120" t="b">
        <v>1</v>
      </c>
    </row>
    <row r="121" spans="1:19" x14ac:dyDescent="0.35">
      <c r="A121" t="s">
        <v>203</v>
      </c>
      <c r="B121" t="s">
        <v>15</v>
      </c>
      <c r="C121" t="s">
        <v>16</v>
      </c>
      <c r="D121" t="s">
        <v>204</v>
      </c>
      <c r="E121">
        <v>-4.2766999999999999</v>
      </c>
      <c r="F121">
        <v>15.2662</v>
      </c>
      <c r="G121" t="s">
        <v>207</v>
      </c>
      <c r="H121">
        <v>2024</v>
      </c>
      <c r="I121">
        <v>3.0914363091916601</v>
      </c>
      <c r="J121">
        <v>0</v>
      </c>
      <c r="K121" t="b">
        <v>1</v>
      </c>
      <c r="L121" t="b">
        <v>1</v>
      </c>
    </row>
    <row r="122" spans="1:19" x14ac:dyDescent="0.35">
      <c r="A122" t="s">
        <v>457</v>
      </c>
      <c r="B122" t="s">
        <v>8</v>
      </c>
      <c r="C122" t="s">
        <v>3</v>
      </c>
      <c r="E122">
        <v>31.771699999999999</v>
      </c>
      <c r="F122">
        <v>35.203499999999998</v>
      </c>
      <c r="G122" t="s">
        <v>460</v>
      </c>
      <c r="H122">
        <v>2024</v>
      </c>
      <c r="I122">
        <v>3.0748088980502501</v>
      </c>
      <c r="J122">
        <v>0</v>
      </c>
      <c r="K122" t="b">
        <v>1</v>
      </c>
      <c r="L122" t="b">
        <v>1</v>
      </c>
    </row>
    <row r="123" spans="1:19" x14ac:dyDescent="0.35">
      <c r="A123" t="s">
        <v>950</v>
      </c>
      <c r="B123" t="s">
        <v>15</v>
      </c>
      <c r="C123" t="s">
        <v>16</v>
      </c>
      <c r="D123" t="s">
        <v>951</v>
      </c>
      <c r="E123">
        <v>-6.1748599999999998</v>
      </c>
      <c r="F123">
        <v>35.738199999999999</v>
      </c>
      <c r="G123" t="s">
        <v>954</v>
      </c>
      <c r="H123">
        <v>2024</v>
      </c>
      <c r="I123">
        <v>3.0569467631237299</v>
      </c>
      <c r="J123">
        <v>0</v>
      </c>
      <c r="K123" t="b">
        <v>1</v>
      </c>
      <c r="L123" t="b">
        <v>1</v>
      </c>
    </row>
    <row r="124" spans="1:19" x14ac:dyDescent="0.35">
      <c r="A124" t="s">
        <v>408</v>
      </c>
      <c r="B124" t="s">
        <v>22</v>
      </c>
      <c r="C124" t="s">
        <v>3</v>
      </c>
      <c r="D124" t="s">
        <v>409</v>
      </c>
      <c r="E124">
        <v>45.806899999999999</v>
      </c>
      <c r="F124">
        <v>15.961399999999999</v>
      </c>
      <c r="G124" t="s">
        <v>412</v>
      </c>
      <c r="H124">
        <v>2024</v>
      </c>
      <c r="I124">
        <v>2.9720047764362598</v>
      </c>
      <c r="J124">
        <v>0</v>
      </c>
      <c r="K124" t="b">
        <v>1</v>
      </c>
      <c r="L124" t="b">
        <v>1</v>
      </c>
    </row>
    <row r="125" spans="1:19" x14ac:dyDescent="0.35">
      <c r="A125" t="s">
        <v>62</v>
      </c>
      <c r="B125" t="s">
        <v>22</v>
      </c>
      <c r="C125" t="s">
        <v>3</v>
      </c>
      <c r="D125" t="s">
        <v>63</v>
      </c>
      <c r="E125">
        <v>48.220100000000002</v>
      </c>
      <c r="F125">
        <v>16.379799999999999</v>
      </c>
      <c r="G125" t="s">
        <v>66</v>
      </c>
      <c r="H125">
        <v>2024</v>
      </c>
      <c r="I125">
        <v>2.9379157427937601</v>
      </c>
      <c r="J125">
        <v>0</v>
      </c>
      <c r="K125" t="b">
        <v>1</v>
      </c>
      <c r="L125" t="b">
        <v>1</v>
      </c>
    </row>
    <row r="126" spans="1:19" x14ac:dyDescent="0.35">
      <c r="A126" t="s">
        <v>366</v>
      </c>
      <c r="B126" t="s">
        <v>15</v>
      </c>
      <c r="C126" t="s">
        <v>23</v>
      </c>
      <c r="D126" t="s">
        <v>367</v>
      </c>
      <c r="E126">
        <v>3.7523</v>
      </c>
      <c r="F126">
        <v>8.7741000000000007</v>
      </c>
      <c r="G126" t="s">
        <v>370</v>
      </c>
      <c r="H126">
        <v>2024</v>
      </c>
      <c r="I126">
        <v>2.9214022730910298</v>
      </c>
      <c r="J126">
        <v>0</v>
      </c>
      <c r="K126" t="b">
        <v>1</v>
      </c>
      <c r="L126" t="b">
        <v>1</v>
      </c>
    </row>
    <row r="127" spans="1:19" x14ac:dyDescent="0.35">
      <c r="A127" t="s">
        <v>394</v>
      </c>
      <c r="B127" t="s">
        <v>2</v>
      </c>
      <c r="C127" t="s">
        <v>3</v>
      </c>
      <c r="D127" t="s">
        <v>395</v>
      </c>
      <c r="E127">
        <v>6.8046100000000003</v>
      </c>
      <c r="F127">
        <v>-58.154800000000002</v>
      </c>
      <c r="G127" t="s">
        <v>398</v>
      </c>
      <c r="H127">
        <v>2024</v>
      </c>
      <c r="I127">
        <v>2.90379501424778</v>
      </c>
      <c r="J127">
        <v>0</v>
      </c>
      <c r="K127" t="b">
        <v>1</v>
      </c>
      <c r="L127" t="b">
        <v>1</v>
      </c>
    </row>
    <row r="128" spans="1:19" x14ac:dyDescent="0.35">
      <c r="A128" t="s">
        <v>385</v>
      </c>
      <c r="B128" t="s">
        <v>2</v>
      </c>
      <c r="C128" t="s">
        <v>23</v>
      </c>
      <c r="D128" t="s">
        <v>386</v>
      </c>
      <c r="E128">
        <v>14.6248</v>
      </c>
      <c r="F128">
        <v>-90.532799999999995</v>
      </c>
      <c r="G128" t="s">
        <v>389</v>
      </c>
      <c r="H128">
        <v>2024</v>
      </c>
      <c r="I128">
        <v>2.8699275291829398</v>
      </c>
      <c r="J128">
        <v>0</v>
      </c>
      <c r="K128" t="b">
        <v>1</v>
      </c>
      <c r="L128" t="b">
        <v>1</v>
      </c>
    </row>
    <row r="129" spans="1:19" x14ac:dyDescent="0.35">
      <c r="A129" t="s">
        <v>903</v>
      </c>
      <c r="B129" t="s">
        <v>15</v>
      </c>
      <c r="C129" t="s">
        <v>16</v>
      </c>
      <c r="D129" t="s">
        <v>904</v>
      </c>
      <c r="E129">
        <v>6.1227999999999998</v>
      </c>
      <c r="F129">
        <v>1.2255</v>
      </c>
      <c r="G129" t="s">
        <v>907</v>
      </c>
      <c r="H129">
        <v>2024</v>
      </c>
      <c r="I129">
        <v>2.8626207408980102</v>
      </c>
      <c r="J129">
        <v>0</v>
      </c>
      <c r="K129" t="b">
        <v>1</v>
      </c>
      <c r="L129" t="b">
        <v>1</v>
      </c>
    </row>
    <row r="130" spans="1:19" x14ac:dyDescent="0.35">
      <c r="A130" t="s">
        <v>874</v>
      </c>
      <c r="B130" t="s">
        <v>22</v>
      </c>
      <c r="C130" t="s">
        <v>3</v>
      </c>
      <c r="D130" t="s">
        <v>875</v>
      </c>
      <c r="E130">
        <v>59.332700000000003</v>
      </c>
      <c r="F130">
        <v>18.064499999999999</v>
      </c>
      <c r="G130" t="s">
        <v>878</v>
      </c>
      <c r="H130">
        <v>2024</v>
      </c>
      <c r="I130">
        <v>2.8358165822403398</v>
      </c>
      <c r="J130">
        <v>0</v>
      </c>
      <c r="K130" t="b">
        <v>1</v>
      </c>
      <c r="L130" t="b">
        <v>1</v>
      </c>
      <c r="R130">
        <v>5.28</v>
      </c>
      <c r="S130">
        <v>122.4</v>
      </c>
    </row>
    <row r="131" spans="1:19" x14ac:dyDescent="0.35">
      <c r="A131" t="s">
        <v>158</v>
      </c>
      <c r="B131" t="s">
        <v>15</v>
      </c>
      <c r="C131" t="s">
        <v>23</v>
      </c>
      <c r="D131" t="s">
        <v>159</v>
      </c>
      <c r="E131">
        <v>-24.654399999999999</v>
      </c>
      <c r="F131">
        <v>25.920100000000001</v>
      </c>
      <c r="G131" t="s">
        <v>162</v>
      </c>
      <c r="H131">
        <v>2024</v>
      </c>
      <c r="I131">
        <v>2.8183513167625098</v>
      </c>
      <c r="J131">
        <v>0</v>
      </c>
      <c r="K131" t="b">
        <v>1</v>
      </c>
      <c r="L131" t="b">
        <v>1</v>
      </c>
    </row>
    <row r="132" spans="1:19" x14ac:dyDescent="0.35">
      <c r="A132" t="s">
        <v>153</v>
      </c>
      <c r="B132" t="s">
        <v>93</v>
      </c>
      <c r="C132" t="s">
        <v>16</v>
      </c>
      <c r="D132" t="s">
        <v>154</v>
      </c>
      <c r="E132">
        <v>27.576799999999999</v>
      </c>
      <c r="F132">
        <v>89.617699999999999</v>
      </c>
      <c r="G132" t="s">
        <v>157</v>
      </c>
      <c r="H132">
        <v>2024</v>
      </c>
      <c r="I132">
        <v>2.7613156962409802</v>
      </c>
      <c r="J132">
        <v>0</v>
      </c>
      <c r="K132" t="b">
        <v>1</v>
      </c>
      <c r="L132" t="b">
        <v>1</v>
      </c>
    </row>
    <row r="133" spans="1:19" x14ac:dyDescent="0.35">
      <c r="A133" t="s">
        <v>864</v>
      </c>
      <c r="B133" t="s">
        <v>22</v>
      </c>
      <c r="C133" t="s">
        <v>3</v>
      </c>
      <c r="D133" t="s">
        <v>865</v>
      </c>
      <c r="E133">
        <v>48.148400000000002</v>
      </c>
      <c r="F133">
        <v>17.107299999999999</v>
      </c>
      <c r="G133" t="s">
        <v>868</v>
      </c>
      <c r="H133">
        <v>2024</v>
      </c>
      <c r="I133">
        <v>2.75760909424279</v>
      </c>
      <c r="J133">
        <v>0</v>
      </c>
      <c r="K133" t="b">
        <v>1</v>
      </c>
      <c r="L133" t="b">
        <v>1</v>
      </c>
    </row>
    <row r="134" spans="1:19" x14ac:dyDescent="0.35">
      <c r="A134" t="s">
        <v>257</v>
      </c>
      <c r="B134" t="s">
        <v>2</v>
      </c>
      <c r="C134" t="s">
        <v>23</v>
      </c>
      <c r="D134" t="s">
        <v>258</v>
      </c>
      <c r="E134">
        <v>15.297599999999999</v>
      </c>
      <c r="F134">
        <v>-61.39</v>
      </c>
      <c r="G134" t="s">
        <v>261</v>
      </c>
      <c r="H134">
        <v>2024</v>
      </c>
      <c r="I134">
        <v>2.7362075187331301</v>
      </c>
      <c r="J134">
        <v>0</v>
      </c>
      <c r="K134" t="b">
        <v>1</v>
      </c>
      <c r="L134" t="b">
        <v>1</v>
      </c>
    </row>
    <row r="135" spans="1:19" x14ac:dyDescent="0.35">
      <c r="A135" t="s">
        <v>447</v>
      </c>
      <c r="B135" t="s">
        <v>8</v>
      </c>
      <c r="C135" t="s">
        <v>23</v>
      </c>
      <c r="D135" t="s">
        <v>448</v>
      </c>
      <c r="E135">
        <v>33.330199999999998</v>
      </c>
      <c r="F135">
        <v>44.393999999999998</v>
      </c>
      <c r="G135" t="s">
        <v>451</v>
      </c>
      <c r="H135">
        <v>2024</v>
      </c>
      <c r="I135">
        <v>2.6116961151764002</v>
      </c>
      <c r="J135">
        <v>0</v>
      </c>
      <c r="K135" t="b">
        <v>1</v>
      </c>
      <c r="L135" t="b">
        <v>1</v>
      </c>
    </row>
    <row r="136" spans="1:19" x14ac:dyDescent="0.35">
      <c r="A136" t="s">
        <v>650</v>
      </c>
      <c r="B136" t="s">
        <v>15</v>
      </c>
      <c r="C136" t="s">
        <v>16</v>
      </c>
      <c r="D136" t="s">
        <v>651</v>
      </c>
      <c r="E136">
        <v>18.236699999999999</v>
      </c>
      <c r="F136">
        <v>-15.9824</v>
      </c>
      <c r="G136" t="s">
        <v>654</v>
      </c>
      <c r="H136">
        <v>2024</v>
      </c>
      <c r="I136">
        <v>2.4916434748197198</v>
      </c>
      <c r="J136">
        <v>0</v>
      </c>
      <c r="K136" t="b">
        <v>1</v>
      </c>
      <c r="L136" t="b">
        <v>1</v>
      </c>
    </row>
    <row r="137" spans="1:19" x14ac:dyDescent="0.35">
      <c r="A137" t="s">
        <v>501</v>
      </c>
      <c r="B137" t="s">
        <v>48</v>
      </c>
      <c r="C137" t="s">
        <v>16</v>
      </c>
      <c r="D137" t="s">
        <v>502</v>
      </c>
      <c r="E137">
        <v>1.3290500000000001</v>
      </c>
      <c r="F137">
        <v>172.97900000000001</v>
      </c>
      <c r="G137" t="s">
        <v>505</v>
      </c>
      <c r="H137">
        <v>2024</v>
      </c>
      <c r="I137">
        <v>2.4554507215902799</v>
      </c>
      <c r="J137">
        <v>0</v>
      </c>
      <c r="K137" t="b">
        <v>1</v>
      </c>
      <c r="L137" t="b">
        <v>1</v>
      </c>
    </row>
    <row r="138" spans="1:19" x14ac:dyDescent="0.35">
      <c r="A138" t="s">
        <v>98</v>
      </c>
      <c r="B138" t="s">
        <v>22</v>
      </c>
      <c r="C138" t="s">
        <v>3</v>
      </c>
      <c r="D138" t="s">
        <v>99</v>
      </c>
      <c r="E138">
        <v>42.710500000000003</v>
      </c>
      <c r="F138">
        <v>23.323799999999999</v>
      </c>
      <c r="G138" t="s">
        <v>102</v>
      </c>
      <c r="H138">
        <v>2024</v>
      </c>
      <c r="I138">
        <v>2.44651943006079</v>
      </c>
      <c r="J138">
        <v>0</v>
      </c>
      <c r="K138" t="b">
        <v>1</v>
      </c>
      <c r="L138" t="b">
        <v>1</v>
      </c>
    </row>
    <row r="139" spans="1:19" x14ac:dyDescent="0.35">
      <c r="A139" t="s">
        <v>243</v>
      </c>
      <c r="B139" t="s">
        <v>22</v>
      </c>
      <c r="C139" t="s">
        <v>3</v>
      </c>
      <c r="D139" t="s">
        <v>244</v>
      </c>
      <c r="E139">
        <v>50.087800000000001</v>
      </c>
      <c r="F139">
        <v>14.420500000000001</v>
      </c>
      <c r="G139" t="s">
        <v>247</v>
      </c>
      <c r="H139">
        <v>2024</v>
      </c>
      <c r="I139">
        <v>2.4353120243531401</v>
      </c>
      <c r="J139">
        <v>0</v>
      </c>
      <c r="K139" t="b">
        <v>1</v>
      </c>
      <c r="L139" t="b">
        <v>1</v>
      </c>
    </row>
    <row r="140" spans="1:19" x14ac:dyDescent="0.35">
      <c r="A140" t="s">
        <v>511</v>
      </c>
      <c r="B140" t="s">
        <v>48</v>
      </c>
      <c r="C140" t="s">
        <v>3</v>
      </c>
      <c r="D140" t="s">
        <v>512</v>
      </c>
      <c r="E140">
        <v>37.532299999999999</v>
      </c>
      <c r="F140">
        <v>126.95699999999999</v>
      </c>
      <c r="G140" t="s">
        <v>515</v>
      </c>
      <c r="H140">
        <v>2024</v>
      </c>
      <c r="I140">
        <v>2.3217432864354199</v>
      </c>
      <c r="J140">
        <v>0</v>
      </c>
      <c r="K140" t="b">
        <v>1</v>
      </c>
      <c r="L140" t="b">
        <v>1</v>
      </c>
    </row>
    <row r="141" spans="1:19" x14ac:dyDescent="0.35">
      <c r="A141" t="s">
        <v>743</v>
      </c>
      <c r="B141" t="s">
        <v>48</v>
      </c>
      <c r="C141" t="s">
        <v>3</v>
      </c>
      <c r="D141" t="s">
        <v>744</v>
      </c>
      <c r="E141">
        <v>7.3419400000000001</v>
      </c>
      <c r="F141">
        <v>134.47900000000001</v>
      </c>
      <c r="G141" t="s">
        <v>747</v>
      </c>
      <c r="H141">
        <v>2024</v>
      </c>
      <c r="I141">
        <v>2.2317277292170399</v>
      </c>
      <c r="J141">
        <v>0</v>
      </c>
      <c r="K141" t="b">
        <v>1</v>
      </c>
      <c r="L141" t="b">
        <v>1</v>
      </c>
    </row>
    <row r="142" spans="1:19" x14ac:dyDescent="0.35">
      <c r="A142" t="s">
        <v>21</v>
      </c>
      <c r="B142" t="s">
        <v>22</v>
      </c>
      <c r="C142" t="s">
        <v>23</v>
      </c>
      <c r="D142" t="s">
        <v>24</v>
      </c>
      <c r="E142">
        <v>41.331699999999998</v>
      </c>
      <c r="F142">
        <v>19.8172</v>
      </c>
      <c r="G142" t="s">
        <v>27</v>
      </c>
      <c r="H142">
        <v>2024</v>
      </c>
      <c r="I142">
        <v>2.2158737508999198</v>
      </c>
      <c r="J142">
        <v>0</v>
      </c>
      <c r="K142" t="b">
        <v>1</v>
      </c>
      <c r="L142" t="b">
        <v>1</v>
      </c>
    </row>
    <row r="143" spans="1:19" x14ac:dyDescent="0.35">
      <c r="A143" t="s">
        <v>67</v>
      </c>
      <c r="B143" t="s">
        <v>22</v>
      </c>
      <c r="C143" t="s">
        <v>23</v>
      </c>
      <c r="D143" t="s">
        <v>68</v>
      </c>
      <c r="E143">
        <v>40.383400000000002</v>
      </c>
      <c r="F143">
        <v>49.8932</v>
      </c>
      <c r="G143" t="s">
        <v>71</v>
      </c>
      <c r="H143">
        <v>2024</v>
      </c>
      <c r="I143">
        <v>2.2121718891990101</v>
      </c>
      <c r="J143">
        <v>0</v>
      </c>
      <c r="K143" t="b">
        <v>1</v>
      </c>
      <c r="L143" t="b">
        <v>1</v>
      </c>
      <c r="Q143">
        <v>0.46</v>
      </c>
    </row>
    <row r="144" spans="1:19" x14ac:dyDescent="0.35">
      <c r="A144" t="s">
        <v>1007</v>
      </c>
      <c r="B144" t="s">
        <v>48</v>
      </c>
      <c r="C144" t="s">
        <v>23</v>
      </c>
      <c r="D144" t="s">
        <v>1008</v>
      </c>
      <c r="E144">
        <v>-13.8314</v>
      </c>
      <c r="F144">
        <v>-171.75200000000001</v>
      </c>
      <c r="G144" t="s">
        <v>1011</v>
      </c>
      <c r="H144">
        <v>2024</v>
      </c>
      <c r="I144">
        <v>2.1724553051437701</v>
      </c>
      <c r="J144">
        <v>0</v>
      </c>
      <c r="K144" t="b">
        <v>1</v>
      </c>
      <c r="L144" t="b">
        <v>1</v>
      </c>
    </row>
    <row r="145" spans="1:19" x14ac:dyDescent="0.35">
      <c r="A145" t="s">
        <v>536</v>
      </c>
      <c r="B145" t="s">
        <v>8</v>
      </c>
      <c r="C145" t="s">
        <v>23</v>
      </c>
      <c r="D145" t="s">
        <v>537</v>
      </c>
      <c r="E145">
        <v>32.857799999999997</v>
      </c>
      <c r="F145">
        <v>13.107200000000001</v>
      </c>
      <c r="G145" t="s">
        <v>540</v>
      </c>
      <c r="H145">
        <v>2024</v>
      </c>
      <c r="I145">
        <v>2.12615766885021</v>
      </c>
      <c r="J145">
        <v>0</v>
      </c>
      <c r="K145" t="b">
        <v>1</v>
      </c>
      <c r="L145" t="b">
        <v>1</v>
      </c>
    </row>
    <row r="146" spans="1:19" x14ac:dyDescent="0.35">
      <c r="A146" t="s">
        <v>253</v>
      </c>
      <c r="B146" t="s">
        <v>8</v>
      </c>
      <c r="C146" t="s">
        <v>16</v>
      </c>
      <c r="D146" t="s">
        <v>253</v>
      </c>
      <c r="E146">
        <v>11.5806</v>
      </c>
      <c r="F146">
        <v>43.142499999999998</v>
      </c>
      <c r="G146" t="s">
        <v>256</v>
      </c>
      <c r="H146">
        <v>2024</v>
      </c>
      <c r="I146">
        <v>2.1120116728496998</v>
      </c>
      <c r="J146">
        <v>0</v>
      </c>
      <c r="K146" t="b">
        <v>1</v>
      </c>
      <c r="L146" t="b">
        <v>1</v>
      </c>
      <c r="Q146">
        <v>9.5299999999999994</v>
      </c>
    </row>
    <row r="147" spans="1:19" x14ac:dyDescent="0.35">
      <c r="A147" t="s">
        <v>921</v>
      </c>
      <c r="B147" t="s">
        <v>48</v>
      </c>
      <c r="C147" t="s">
        <v>16</v>
      </c>
      <c r="D147" t="s">
        <v>922</v>
      </c>
      <c r="E147">
        <v>-8.5666700000000002</v>
      </c>
      <c r="F147">
        <v>125.56699999999999</v>
      </c>
      <c r="G147" t="s">
        <v>925</v>
      </c>
      <c r="H147">
        <v>2024</v>
      </c>
      <c r="I147">
        <v>2.0628415300546799</v>
      </c>
      <c r="J147">
        <v>0</v>
      </c>
      <c r="K147" t="b">
        <v>1</v>
      </c>
      <c r="L147" t="b">
        <v>1</v>
      </c>
    </row>
    <row r="148" spans="1:19" x14ac:dyDescent="0.35">
      <c r="A148" t="s">
        <v>565</v>
      </c>
      <c r="B148" t="s">
        <v>22</v>
      </c>
      <c r="C148" t="s">
        <v>3</v>
      </c>
      <c r="D148" t="s">
        <v>565</v>
      </c>
      <c r="E148">
        <v>49.61</v>
      </c>
      <c r="F148">
        <v>6.1295999999999999</v>
      </c>
      <c r="G148" t="s">
        <v>568</v>
      </c>
      <c r="H148">
        <v>2024</v>
      </c>
      <c r="I148">
        <v>2.0511326995485901</v>
      </c>
      <c r="J148">
        <v>0</v>
      </c>
      <c r="K148" t="b">
        <v>1</v>
      </c>
      <c r="L148" t="b">
        <v>1</v>
      </c>
    </row>
    <row r="149" spans="1:19" x14ac:dyDescent="0.35">
      <c r="A149" t="s">
        <v>733</v>
      </c>
      <c r="B149" t="s">
        <v>2</v>
      </c>
      <c r="C149" t="s">
        <v>23</v>
      </c>
      <c r="D149" t="s">
        <v>734</v>
      </c>
      <c r="E149">
        <v>-12.0931</v>
      </c>
      <c r="F149">
        <v>-77.046499999999995</v>
      </c>
      <c r="G149" t="s">
        <v>737</v>
      </c>
      <c r="H149">
        <v>2024</v>
      </c>
      <c r="I149">
        <v>2.0077073941271202</v>
      </c>
      <c r="J149">
        <v>0</v>
      </c>
      <c r="K149" t="b">
        <v>1</v>
      </c>
      <c r="L149" t="b">
        <v>1</v>
      </c>
    </row>
    <row r="150" spans="1:19" x14ac:dyDescent="0.35">
      <c r="A150" t="s">
        <v>869</v>
      </c>
      <c r="B150" t="s">
        <v>22</v>
      </c>
      <c r="C150" t="s">
        <v>3</v>
      </c>
      <c r="D150" t="s">
        <v>870</v>
      </c>
      <c r="E150">
        <v>46.054600000000001</v>
      </c>
      <c r="F150">
        <v>14.5044</v>
      </c>
      <c r="G150" t="s">
        <v>873</v>
      </c>
      <c r="H150">
        <v>2024</v>
      </c>
      <c r="I150">
        <v>1.9656265643250499</v>
      </c>
      <c r="J150">
        <v>0</v>
      </c>
      <c r="K150" t="b">
        <v>1</v>
      </c>
      <c r="L150" t="b">
        <v>1</v>
      </c>
    </row>
    <row r="151" spans="1:19" x14ac:dyDescent="0.35">
      <c r="A151" t="s">
        <v>238</v>
      </c>
      <c r="B151" t="s">
        <v>22</v>
      </c>
      <c r="C151" t="s">
        <v>3</v>
      </c>
      <c r="D151" t="s">
        <v>239</v>
      </c>
      <c r="E151">
        <v>35.1676</v>
      </c>
      <c r="F151">
        <v>33.373600000000003</v>
      </c>
      <c r="G151" t="s">
        <v>242</v>
      </c>
      <c r="H151">
        <v>2024</v>
      </c>
      <c r="I151">
        <v>1.8002301862482399</v>
      </c>
      <c r="J151">
        <v>0</v>
      </c>
      <c r="K151" t="b">
        <v>1</v>
      </c>
      <c r="L151" t="b">
        <v>1</v>
      </c>
    </row>
    <row r="152" spans="1:19" x14ac:dyDescent="0.35">
      <c r="A152" t="s">
        <v>797</v>
      </c>
      <c r="B152" t="s">
        <v>15</v>
      </c>
      <c r="C152" t="s">
        <v>9</v>
      </c>
      <c r="D152" t="s">
        <v>798</v>
      </c>
      <c r="E152">
        <v>-1.9532499999999999</v>
      </c>
      <c r="F152">
        <v>30.058700000000002</v>
      </c>
      <c r="G152" t="s">
        <v>801</v>
      </c>
      <c r="H152">
        <v>2024</v>
      </c>
      <c r="I152">
        <v>1.77029240198635</v>
      </c>
      <c r="J152">
        <v>0</v>
      </c>
      <c r="K152" t="b">
        <v>1</v>
      </c>
      <c r="L152" t="b">
        <v>1</v>
      </c>
    </row>
    <row r="153" spans="1:19" x14ac:dyDescent="0.35">
      <c r="A153" t="s">
        <v>399</v>
      </c>
      <c r="B153" t="s">
        <v>48</v>
      </c>
      <c r="C153" t="s">
        <v>3</v>
      </c>
      <c r="E153">
        <v>22.3964</v>
      </c>
      <c r="F153">
        <v>114.10899999999999</v>
      </c>
      <c r="G153" t="s">
        <v>402</v>
      </c>
      <c r="H153">
        <v>2024</v>
      </c>
      <c r="I153">
        <v>1.7297211910591399</v>
      </c>
      <c r="J153">
        <v>0</v>
      </c>
      <c r="K153" t="b">
        <v>1</v>
      </c>
      <c r="L153" t="b">
        <v>1</v>
      </c>
    </row>
    <row r="154" spans="1:19" x14ac:dyDescent="0.35">
      <c r="A154" t="s">
        <v>622</v>
      </c>
      <c r="B154" t="s">
        <v>8</v>
      </c>
      <c r="C154" t="s">
        <v>3</v>
      </c>
      <c r="D154" t="s">
        <v>623</v>
      </c>
      <c r="E154">
        <v>35.904200000000003</v>
      </c>
      <c r="F154">
        <v>14.5189</v>
      </c>
      <c r="G154" t="s">
        <v>626</v>
      </c>
      <c r="H154">
        <v>2024</v>
      </c>
      <c r="I154">
        <v>1.6507946928310899</v>
      </c>
      <c r="J154">
        <v>0</v>
      </c>
      <c r="K154" t="b">
        <v>1</v>
      </c>
      <c r="L154" t="b">
        <v>1</v>
      </c>
    </row>
    <row r="155" spans="1:19" x14ac:dyDescent="0.35">
      <c r="A155" t="s">
        <v>1012</v>
      </c>
      <c r="B155" t="s">
        <v>22</v>
      </c>
      <c r="C155" t="s">
        <v>23</v>
      </c>
      <c r="D155" t="s">
        <v>1013</v>
      </c>
      <c r="E155">
        <v>42.564999999999998</v>
      </c>
      <c r="F155">
        <v>20.925999999999998</v>
      </c>
      <c r="G155" t="s">
        <v>1016</v>
      </c>
      <c r="H155">
        <v>2024</v>
      </c>
      <c r="I155">
        <v>1.61944994559476</v>
      </c>
      <c r="J155">
        <v>0</v>
      </c>
      <c r="K155" t="b">
        <v>1</v>
      </c>
      <c r="L155" t="b">
        <v>1</v>
      </c>
    </row>
    <row r="156" spans="1:19" x14ac:dyDescent="0.35">
      <c r="A156" t="s">
        <v>306</v>
      </c>
      <c r="B156" t="s">
        <v>22</v>
      </c>
      <c r="C156" t="s">
        <v>3</v>
      </c>
      <c r="D156" t="s">
        <v>307</v>
      </c>
      <c r="E156">
        <v>60.160800000000002</v>
      </c>
      <c r="F156">
        <v>24.952500000000001</v>
      </c>
      <c r="G156" t="s">
        <v>310</v>
      </c>
      <c r="H156">
        <v>2024</v>
      </c>
      <c r="I156">
        <v>1.5656890623161599</v>
      </c>
      <c r="J156">
        <v>0</v>
      </c>
      <c r="K156" t="b">
        <v>1</v>
      </c>
      <c r="L156" t="b">
        <v>1</v>
      </c>
      <c r="R156">
        <v>5.12</v>
      </c>
      <c r="S156">
        <v>118.6</v>
      </c>
    </row>
    <row r="157" spans="1:19" x14ac:dyDescent="0.35">
      <c r="A157" t="s">
        <v>471</v>
      </c>
      <c r="B157" t="s">
        <v>8</v>
      </c>
      <c r="C157" t="s">
        <v>23</v>
      </c>
      <c r="D157" t="s">
        <v>472</v>
      </c>
      <c r="E157">
        <v>31.9497</v>
      </c>
      <c r="F157">
        <v>35.926299999999998</v>
      </c>
      <c r="G157" t="s">
        <v>475</v>
      </c>
      <c r="H157">
        <v>2024</v>
      </c>
      <c r="I157">
        <v>1.55659611283953</v>
      </c>
      <c r="J157">
        <v>0</v>
      </c>
      <c r="K157" t="b">
        <v>1</v>
      </c>
      <c r="L157" t="b">
        <v>1</v>
      </c>
    </row>
    <row r="158" spans="1:19" x14ac:dyDescent="0.35">
      <c r="A158" t="s">
        <v>277</v>
      </c>
      <c r="B158" t="s">
        <v>2</v>
      </c>
      <c r="C158" t="s">
        <v>23</v>
      </c>
      <c r="D158" t="s">
        <v>278</v>
      </c>
      <c r="E158">
        <v>-0.22949800000000001</v>
      </c>
      <c r="F158">
        <v>-78.524299999999997</v>
      </c>
      <c r="G158" t="s">
        <v>281</v>
      </c>
      <c r="H158">
        <v>2024</v>
      </c>
      <c r="I158">
        <v>1.54732515615369</v>
      </c>
      <c r="J158">
        <v>0</v>
      </c>
      <c r="K158" t="b">
        <v>1</v>
      </c>
      <c r="L158" t="b">
        <v>1</v>
      </c>
    </row>
    <row r="159" spans="1:19" x14ac:dyDescent="0.35">
      <c r="A159" t="s">
        <v>163</v>
      </c>
      <c r="B159" t="s">
        <v>15</v>
      </c>
      <c r="C159" t="s">
        <v>9</v>
      </c>
      <c r="D159" t="s">
        <v>164</v>
      </c>
      <c r="E159">
        <v>5.63056</v>
      </c>
      <c r="F159">
        <v>21.640699999999999</v>
      </c>
      <c r="G159" t="s">
        <v>167</v>
      </c>
      <c r="H159">
        <v>2024</v>
      </c>
      <c r="I159">
        <v>1.47733600718744</v>
      </c>
      <c r="J159">
        <v>0</v>
      </c>
      <c r="K159" t="b">
        <v>1</v>
      </c>
      <c r="L159" t="b">
        <v>1</v>
      </c>
    </row>
    <row r="160" spans="1:19" x14ac:dyDescent="0.35">
      <c r="A160" t="s">
        <v>598</v>
      </c>
      <c r="B160" t="s">
        <v>93</v>
      </c>
      <c r="C160" t="s">
        <v>23</v>
      </c>
      <c r="D160" t="s">
        <v>599</v>
      </c>
      <c r="E160">
        <v>4.1741999999999999</v>
      </c>
      <c r="F160">
        <v>73.510900000000007</v>
      </c>
      <c r="G160" t="s">
        <v>602</v>
      </c>
      <c r="H160">
        <v>2024</v>
      </c>
      <c r="I160">
        <v>1.4109352791013401</v>
      </c>
      <c r="J160">
        <v>0</v>
      </c>
      <c r="K160" t="b">
        <v>1</v>
      </c>
      <c r="L160" t="b">
        <v>1</v>
      </c>
    </row>
    <row r="161" spans="1:12" x14ac:dyDescent="0.35">
      <c r="A161" t="s">
        <v>569</v>
      </c>
      <c r="B161" t="s">
        <v>22</v>
      </c>
      <c r="C161" t="s">
        <v>3</v>
      </c>
      <c r="D161" t="s">
        <v>570</v>
      </c>
      <c r="E161">
        <v>56.9465</v>
      </c>
      <c r="F161">
        <v>24.104800000000001</v>
      </c>
      <c r="G161" t="s">
        <v>573</v>
      </c>
      <c r="H161">
        <v>2024</v>
      </c>
      <c r="I161">
        <v>1.2657988582872901</v>
      </c>
      <c r="J161">
        <v>0</v>
      </c>
      <c r="K161" t="b">
        <v>1</v>
      </c>
      <c r="L161" t="b">
        <v>1</v>
      </c>
    </row>
    <row r="162" spans="1:12" x14ac:dyDescent="0.35">
      <c r="A162" t="s">
        <v>836</v>
      </c>
      <c r="B162" t="s">
        <v>22</v>
      </c>
      <c r="C162" t="s">
        <v>3</v>
      </c>
      <c r="D162" t="s">
        <v>836</v>
      </c>
      <c r="E162">
        <v>43.932200000000002</v>
      </c>
      <c r="F162">
        <v>12.448600000000001</v>
      </c>
      <c r="G162" t="s">
        <v>839</v>
      </c>
      <c r="H162">
        <v>2024</v>
      </c>
      <c r="I162">
        <v>1.24216507945569</v>
      </c>
      <c r="J162">
        <v>0</v>
      </c>
      <c r="K162" t="b">
        <v>1</v>
      </c>
      <c r="L162" t="b">
        <v>1</v>
      </c>
    </row>
    <row r="163" spans="1:12" x14ac:dyDescent="0.35">
      <c r="A163" t="s">
        <v>330</v>
      </c>
      <c r="B163" t="s">
        <v>15</v>
      </c>
      <c r="C163" t="s">
        <v>23</v>
      </c>
      <c r="D163" t="s">
        <v>331</v>
      </c>
      <c r="E163">
        <v>0.38832</v>
      </c>
      <c r="F163">
        <v>9.4516200000000001</v>
      </c>
      <c r="G163" t="s">
        <v>334</v>
      </c>
      <c r="H163">
        <v>2024</v>
      </c>
      <c r="I163">
        <v>1.17311998381218</v>
      </c>
      <c r="J163">
        <v>0</v>
      </c>
      <c r="K163" t="b">
        <v>1</v>
      </c>
      <c r="L163" t="b">
        <v>1</v>
      </c>
    </row>
    <row r="164" spans="1:12" x14ac:dyDescent="0.35">
      <c r="A164" t="s">
        <v>82</v>
      </c>
      <c r="B164" t="s">
        <v>15</v>
      </c>
      <c r="C164" t="s">
        <v>16</v>
      </c>
      <c r="D164" t="s">
        <v>83</v>
      </c>
      <c r="E164">
        <v>6.4779</v>
      </c>
      <c r="F164">
        <v>2.6322999999999999</v>
      </c>
      <c r="G164" t="s">
        <v>86</v>
      </c>
      <c r="H164">
        <v>2024</v>
      </c>
      <c r="I164">
        <v>1.16093089640415</v>
      </c>
      <c r="J164">
        <v>0</v>
      </c>
      <c r="K164" t="b">
        <v>1</v>
      </c>
      <c r="L164" t="b">
        <v>1</v>
      </c>
    </row>
    <row r="165" spans="1:12" x14ac:dyDescent="0.35">
      <c r="A165" t="s">
        <v>1002</v>
      </c>
      <c r="B165" t="s">
        <v>48</v>
      </c>
      <c r="C165" t="s">
        <v>16</v>
      </c>
      <c r="D165" t="s">
        <v>1003</v>
      </c>
      <c r="E165">
        <v>-17.740400000000001</v>
      </c>
      <c r="F165">
        <v>168.321</v>
      </c>
      <c r="G165" t="s">
        <v>1006</v>
      </c>
      <c r="H165">
        <v>2024</v>
      </c>
      <c r="I165">
        <v>1.1434894872741199</v>
      </c>
      <c r="J165">
        <v>0</v>
      </c>
      <c r="K165" t="b">
        <v>1</v>
      </c>
      <c r="L165" t="b">
        <v>1</v>
      </c>
    </row>
    <row r="166" spans="1:12" x14ac:dyDescent="0.35">
      <c r="A166" t="s">
        <v>340</v>
      </c>
      <c r="B166" t="s">
        <v>22</v>
      </c>
      <c r="C166" t="s">
        <v>23</v>
      </c>
      <c r="D166" t="s">
        <v>341</v>
      </c>
      <c r="E166">
        <v>41.71</v>
      </c>
      <c r="F166">
        <v>44.792999999999999</v>
      </c>
      <c r="G166" t="s">
        <v>344</v>
      </c>
      <c r="H166">
        <v>2024</v>
      </c>
      <c r="I166">
        <v>1.10971758022096</v>
      </c>
      <c r="J166">
        <v>0</v>
      </c>
      <c r="K166" t="b">
        <v>1</v>
      </c>
      <c r="L166" t="b">
        <v>1</v>
      </c>
    </row>
    <row r="167" spans="1:12" x14ac:dyDescent="0.35">
      <c r="A167" t="s">
        <v>376</v>
      </c>
      <c r="B167" t="s">
        <v>2</v>
      </c>
      <c r="C167" t="s">
        <v>23</v>
      </c>
      <c r="D167" t="s">
        <v>377</v>
      </c>
      <c r="E167">
        <v>12.065300000000001</v>
      </c>
      <c r="F167">
        <v>-61.744900000000001</v>
      </c>
      <c r="G167" t="s">
        <v>380</v>
      </c>
      <c r="H167">
        <v>2024</v>
      </c>
      <c r="I167">
        <v>1.08615365134737</v>
      </c>
      <c r="J167">
        <v>0</v>
      </c>
      <c r="K167" t="b">
        <v>1</v>
      </c>
      <c r="L167" t="b">
        <v>1</v>
      </c>
    </row>
    <row r="168" spans="1:12" x14ac:dyDescent="0.35">
      <c r="A168" t="s">
        <v>218</v>
      </c>
      <c r="B168" t="s">
        <v>15</v>
      </c>
      <c r="C168" t="s">
        <v>23</v>
      </c>
      <c r="D168" t="s">
        <v>219</v>
      </c>
      <c r="E168">
        <v>14.921799999999999</v>
      </c>
      <c r="F168">
        <v>-23.508700000000001</v>
      </c>
      <c r="G168" t="s">
        <v>222</v>
      </c>
      <c r="H168">
        <v>2024</v>
      </c>
      <c r="I168">
        <v>1.0481700109196499</v>
      </c>
      <c r="J168">
        <v>0</v>
      </c>
      <c r="K168" t="b">
        <v>1</v>
      </c>
      <c r="L168" t="b">
        <v>1</v>
      </c>
    </row>
    <row r="169" spans="1:12" x14ac:dyDescent="0.35">
      <c r="A169" t="s">
        <v>580</v>
      </c>
      <c r="B169" t="s">
        <v>8</v>
      </c>
      <c r="C169" t="s">
        <v>16</v>
      </c>
      <c r="D169" t="s">
        <v>581</v>
      </c>
      <c r="E169">
        <v>33.990499999999997</v>
      </c>
      <c r="F169">
        <v>-6.8704000000000001</v>
      </c>
      <c r="G169" t="s">
        <v>584</v>
      </c>
      <c r="H169">
        <v>2024</v>
      </c>
      <c r="I169">
        <v>0.98525659200450699</v>
      </c>
      <c r="J169">
        <v>0</v>
      </c>
      <c r="K169" t="b">
        <v>1</v>
      </c>
      <c r="L169" t="b">
        <v>1</v>
      </c>
    </row>
    <row r="170" spans="1:12" x14ac:dyDescent="0.35">
      <c r="A170" t="s">
        <v>831</v>
      </c>
      <c r="B170" t="s">
        <v>2</v>
      </c>
      <c r="C170" t="s">
        <v>23</v>
      </c>
      <c r="D170" t="s">
        <v>832</v>
      </c>
      <c r="E170">
        <v>13.7034</v>
      </c>
      <c r="F170">
        <v>-89.207300000000004</v>
      </c>
      <c r="G170" t="s">
        <v>835</v>
      </c>
      <c r="H170">
        <v>2024</v>
      </c>
      <c r="I170">
        <v>0.85378229256728799</v>
      </c>
      <c r="J170">
        <v>0</v>
      </c>
      <c r="K170" t="b">
        <v>1</v>
      </c>
      <c r="L170" t="b">
        <v>1</v>
      </c>
    </row>
    <row r="171" spans="1:12" x14ac:dyDescent="0.35">
      <c r="A171" t="s">
        <v>812</v>
      </c>
      <c r="B171" t="s">
        <v>15</v>
      </c>
      <c r="C171" t="s">
        <v>16</v>
      </c>
      <c r="D171" t="s">
        <v>813</v>
      </c>
      <c r="E171">
        <v>14.7247</v>
      </c>
      <c r="F171">
        <v>-17.473400000000002</v>
      </c>
      <c r="G171" t="s">
        <v>816</v>
      </c>
      <c r="H171">
        <v>2024</v>
      </c>
      <c r="I171">
        <v>0.80450329879243798</v>
      </c>
      <c r="J171">
        <v>0</v>
      </c>
      <c r="K171" t="b">
        <v>1</v>
      </c>
      <c r="L171" t="b">
        <v>1</v>
      </c>
    </row>
    <row r="172" spans="1:12" x14ac:dyDescent="0.35">
      <c r="A172" t="s">
        <v>560</v>
      </c>
      <c r="B172" t="s">
        <v>22</v>
      </c>
      <c r="C172" t="s">
        <v>3</v>
      </c>
      <c r="D172" t="s">
        <v>561</v>
      </c>
      <c r="E172">
        <v>54.689599999999999</v>
      </c>
      <c r="F172">
        <v>25.279900000000001</v>
      </c>
      <c r="G172" t="s">
        <v>564</v>
      </c>
      <c r="H172">
        <v>2024</v>
      </c>
      <c r="I172">
        <v>0.71573583522872297</v>
      </c>
      <c r="J172">
        <v>0</v>
      </c>
      <c r="K172" t="b">
        <v>1</v>
      </c>
      <c r="L172" t="b">
        <v>1</v>
      </c>
    </row>
    <row r="173" spans="1:12" x14ac:dyDescent="0.35">
      <c r="A173" t="s">
        <v>728</v>
      </c>
      <c r="B173" t="s">
        <v>2</v>
      </c>
      <c r="C173" t="s">
        <v>3</v>
      </c>
      <c r="D173" t="s">
        <v>729</v>
      </c>
      <c r="E173">
        <v>8.9942700000000002</v>
      </c>
      <c r="F173">
        <v>-79.518799999999999</v>
      </c>
      <c r="G173" t="s">
        <v>732</v>
      </c>
      <c r="H173">
        <v>2024</v>
      </c>
      <c r="I173">
        <v>0.69322555100446004</v>
      </c>
      <c r="J173">
        <v>0</v>
      </c>
      <c r="K173" t="b">
        <v>1</v>
      </c>
      <c r="L173" t="b">
        <v>1</v>
      </c>
    </row>
    <row r="174" spans="1:12" x14ac:dyDescent="0.35">
      <c r="A174" t="s">
        <v>574</v>
      </c>
      <c r="B174" t="s">
        <v>48</v>
      </c>
      <c r="C174" t="s">
        <v>3</v>
      </c>
      <c r="E174">
        <v>22.166699999999999</v>
      </c>
      <c r="F174">
        <v>113.55</v>
      </c>
      <c r="G174" t="s">
        <v>577</v>
      </c>
      <c r="H174">
        <v>2024</v>
      </c>
      <c r="I174">
        <v>0.67249859885436503</v>
      </c>
      <c r="J174">
        <v>0</v>
      </c>
      <c r="K174" t="b">
        <v>1</v>
      </c>
      <c r="L174" t="b">
        <v>1</v>
      </c>
    </row>
    <row r="175" spans="1:12" x14ac:dyDescent="0.35">
      <c r="A175" t="s">
        <v>748</v>
      </c>
      <c r="B175" t="s">
        <v>48</v>
      </c>
      <c r="C175" t="s">
        <v>16</v>
      </c>
      <c r="D175" t="s">
        <v>749</v>
      </c>
      <c r="E175">
        <v>-9.4735700000000005</v>
      </c>
      <c r="F175">
        <v>147.19399999999999</v>
      </c>
      <c r="G175" t="s">
        <v>752</v>
      </c>
      <c r="H175">
        <v>2024</v>
      </c>
      <c r="I175">
        <v>0.60240392110791696</v>
      </c>
      <c r="J175">
        <v>0</v>
      </c>
      <c r="K175" t="b">
        <v>1</v>
      </c>
      <c r="L175" t="b">
        <v>1</v>
      </c>
    </row>
    <row r="176" spans="1:12" x14ac:dyDescent="0.35">
      <c r="A176" t="s">
        <v>931</v>
      </c>
      <c r="B176" t="s">
        <v>2</v>
      </c>
      <c r="C176" t="s">
        <v>3</v>
      </c>
      <c r="D176" t="s">
        <v>932</v>
      </c>
      <c r="E176">
        <v>10.659599999999999</v>
      </c>
      <c r="F176">
        <v>-61.478900000000003</v>
      </c>
      <c r="G176" t="s">
        <v>935</v>
      </c>
      <c r="H176">
        <v>2024</v>
      </c>
      <c r="I176">
        <v>0.52688462577683903</v>
      </c>
      <c r="J176">
        <v>0</v>
      </c>
      <c r="K176" t="b">
        <v>1</v>
      </c>
      <c r="L176" t="b">
        <v>1</v>
      </c>
    </row>
    <row r="177" spans="1:17" x14ac:dyDescent="0.35">
      <c r="A177" t="s">
        <v>108</v>
      </c>
      <c r="B177" t="s">
        <v>2</v>
      </c>
      <c r="C177" t="s">
        <v>3</v>
      </c>
      <c r="D177" t="s">
        <v>109</v>
      </c>
      <c r="E177">
        <v>25.066099999999999</v>
      </c>
      <c r="F177">
        <v>-77.338999999999999</v>
      </c>
      <c r="G177" t="s">
        <v>112</v>
      </c>
      <c r="H177">
        <v>2024</v>
      </c>
      <c r="I177">
        <v>0.40916248908328601</v>
      </c>
      <c r="J177">
        <v>0</v>
      </c>
      <c r="K177" t="b">
        <v>1</v>
      </c>
      <c r="L177" t="b">
        <v>1</v>
      </c>
    </row>
    <row r="178" spans="1:17" x14ac:dyDescent="0.35">
      <c r="A178" t="s">
        <v>885</v>
      </c>
      <c r="B178" t="s">
        <v>15</v>
      </c>
      <c r="C178" t="s">
        <v>3</v>
      </c>
      <c r="D178" t="s">
        <v>886</v>
      </c>
      <c r="E178">
        <v>-4.6308999999999996</v>
      </c>
      <c r="F178">
        <v>55.446599999999997</v>
      </c>
      <c r="G178" t="s">
        <v>889</v>
      </c>
      <c r="H178">
        <v>2024</v>
      </c>
      <c r="I178">
        <v>0.31172605091966799</v>
      </c>
      <c r="J178">
        <v>0</v>
      </c>
      <c r="K178" t="b">
        <v>1</v>
      </c>
      <c r="L178" t="b">
        <v>1</v>
      </c>
    </row>
    <row r="179" spans="1:17" x14ac:dyDescent="0.35">
      <c r="A179" t="s">
        <v>42</v>
      </c>
      <c r="B179" t="s">
        <v>22</v>
      </c>
      <c r="C179" t="s">
        <v>23</v>
      </c>
      <c r="D179" t="s">
        <v>43</v>
      </c>
      <c r="E179">
        <v>40.159599999999998</v>
      </c>
      <c r="F179">
        <v>44.509</v>
      </c>
      <c r="G179" t="s">
        <v>46</v>
      </c>
      <c r="H179">
        <v>2024</v>
      </c>
      <c r="I179">
        <v>0.26951197825912498</v>
      </c>
      <c r="J179">
        <v>0</v>
      </c>
      <c r="K179" t="b">
        <v>1</v>
      </c>
      <c r="L179" t="b">
        <v>1</v>
      </c>
    </row>
    <row r="180" spans="1:17" x14ac:dyDescent="0.35">
      <c r="A180" t="s">
        <v>1017</v>
      </c>
      <c r="B180" t="s">
        <v>8</v>
      </c>
      <c r="C180" t="s">
        <v>9</v>
      </c>
      <c r="D180" t="s">
        <v>1018</v>
      </c>
      <c r="E180">
        <v>15.352</v>
      </c>
      <c r="F180">
        <v>44.207500000000003</v>
      </c>
      <c r="I180">
        <v>0</v>
      </c>
      <c r="J180">
        <v>0</v>
      </c>
      <c r="K180" t="b">
        <v>1</v>
      </c>
      <c r="L180" t="b">
        <v>1</v>
      </c>
    </row>
    <row r="181" spans="1:17" x14ac:dyDescent="0.35">
      <c r="A181" t="s">
        <v>641</v>
      </c>
      <c r="B181" t="s">
        <v>48</v>
      </c>
      <c r="C181" t="s">
        <v>3</v>
      </c>
      <c r="D181" t="s">
        <v>642</v>
      </c>
      <c r="E181">
        <v>15.1935</v>
      </c>
      <c r="F181">
        <v>145.76499999999999</v>
      </c>
      <c r="I181">
        <v>0</v>
      </c>
      <c r="J181">
        <v>0</v>
      </c>
      <c r="K181" t="b">
        <v>1</v>
      </c>
      <c r="L181" t="b">
        <v>1</v>
      </c>
    </row>
    <row r="182" spans="1:17" x14ac:dyDescent="0.35">
      <c r="A182" t="s">
        <v>585</v>
      </c>
      <c r="B182" t="s">
        <v>22</v>
      </c>
      <c r="C182" t="s">
        <v>3</v>
      </c>
      <c r="D182" t="s">
        <v>585</v>
      </c>
      <c r="E182">
        <v>43.732500000000002</v>
      </c>
      <c r="F182">
        <v>7.4189100000000003</v>
      </c>
      <c r="I182">
        <v>0</v>
      </c>
      <c r="J182">
        <v>0</v>
      </c>
      <c r="K182" t="b">
        <v>1</v>
      </c>
      <c r="L182" t="b">
        <v>1</v>
      </c>
      <c r="Q182">
        <v>5.37</v>
      </c>
    </row>
    <row r="183" spans="1:17" x14ac:dyDescent="0.35">
      <c r="A183" t="s">
        <v>1</v>
      </c>
      <c r="B183" t="s">
        <v>2</v>
      </c>
      <c r="C183" t="s">
        <v>3</v>
      </c>
      <c r="D183" t="s">
        <v>4</v>
      </c>
      <c r="E183">
        <v>12.5167</v>
      </c>
      <c r="F183">
        <v>-70.0167</v>
      </c>
      <c r="I183">
        <v>0</v>
      </c>
      <c r="J183">
        <v>0</v>
      </c>
      <c r="K183" t="b">
        <v>1</v>
      </c>
      <c r="L183" t="b">
        <v>1</v>
      </c>
    </row>
    <row r="184" spans="1:17" x14ac:dyDescent="0.35">
      <c r="A184" t="s">
        <v>578</v>
      </c>
      <c r="B184" t="s">
        <v>2</v>
      </c>
      <c r="C184" t="s">
        <v>3</v>
      </c>
      <c r="D184" t="s">
        <v>579</v>
      </c>
      <c r="I184">
        <v>0</v>
      </c>
      <c r="J184">
        <v>0</v>
      </c>
      <c r="K184" t="b">
        <v>1</v>
      </c>
      <c r="L184" t="b">
        <v>1</v>
      </c>
    </row>
    <row r="185" spans="1:17" x14ac:dyDescent="0.35">
      <c r="A185" t="s">
        <v>28</v>
      </c>
      <c r="B185" t="s">
        <v>22</v>
      </c>
      <c r="C185" t="s">
        <v>3</v>
      </c>
      <c r="D185" t="s">
        <v>29</v>
      </c>
      <c r="E185">
        <v>42.5075</v>
      </c>
      <c r="F185">
        <v>1.5218</v>
      </c>
      <c r="I185">
        <v>0</v>
      </c>
      <c r="J185">
        <v>0</v>
      </c>
      <c r="K185" t="b">
        <v>1</v>
      </c>
      <c r="L185" t="b">
        <v>1</v>
      </c>
    </row>
    <row r="186" spans="1:17" x14ac:dyDescent="0.35">
      <c r="A186" t="s">
        <v>47</v>
      </c>
      <c r="B186" t="s">
        <v>48</v>
      </c>
      <c r="C186" t="s">
        <v>3</v>
      </c>
      <c r="D186" t="s">
        <v>49</v>
      </c>
      <c r="E186">
        <v>-14.284599999999999</v>
      </c>
      <c r="F186">
        <v>-170.691</v>
      </c>
      <c r="I186">
        <v>0</v>
      </c>
      <c r="J186">
        <v>0</v>
      </c>
      <c r="K186" t="b">
        <v>1</v>
      </c>
      <c r="L186" t="b">
        <v>1</v>
      </c>
    </row>
    <row r="187" spans="1:17" x14ac:dyDescent="0.35">
      <c r="A187" t="s">
        <v>128</v>
      </c>
      <c r="B187" t="s">
        <v>129</v>
      </c>
      <c r="C187" t="s">
        <v>3</v>
      </c>
      <c r="D187" t="s">
        <v>130</v>
      </c>
      <c r="E187">
        <v>32.329300000000003</v>
      </c>
      <c r="F187">
        <v>-64.706000000000003</v>
      </c>
      <c r="I187">
        <v>0</v>
      </c>
      <c r="J187">
        <v>0</v>
      </c>
      <c r="K187" t="b">
        <v>1</v>
      </c>
      <c r="L187" t="b">
        <v>1</v>
      </c>
      <c r="Q187">
        <v>8.61</v>
      </c>
    </row>
    <row r="188" spans="1:17" x14ac:dyDescent="0.35">
      <c r="A188" t="s">
        <v>178</v>
      </c>
      <c r="B188" t="s">
        <v>22</v>
      </c>
      <c r="C188" t="s">
        <v>3</v>
      </c>
      <c r="I188">
        <v>0</v>
      </c>
      <c r="J188">
        <v>0</v>
      </c>
      <c r="K188" t="b">
        <v>1</v>
      </c>
      <c r="L188" t="b">
        <v>1</v>
      </c>
    </row>
    <row r="189" spans="1:17" x14ac:dyDescent="0.35">
      <c r="A189" t="s">
        <v>232</v>
      </c>
      <c r="B189" t="s">
        <v>2</v>
      </c>
      <c r="C189" t="s">
        <v>3</v>
      </c>
      <c r="D189" t="s">
        <v>233</v>
      </c>
      <c r="I189">
        <v>0</v>
      </c>
      <c r="J189">
        <v>0</v>
      </c>
      <c r="K189" t="b">
        <v>1</v>
      </c>
      <c r="L189" t="b">
        <v>1</v>
      </c>
    </row>
    <row r="190" spans="1:17" x14ac:dyDescent="0.35">
      <c r="A190" t="s">
        <v>287</v>
      </c>
      <c r="B190" t="s">
        <v>15</v>
      </c>
      <c r="C190" t="s">
        <v>9</v>
      </c>
      <c r="D190" t="s">
        <v>288</v>
      </c>
      <c r="E190">
        <v>15.3315</v>
      </c>
      <c r="F190">
        <v>38.918300000000002</v>
      </c>
      <c r="I190">
        <v>0</v>
      </c>
      <c r="J190">
        <v>0</v>
      </c>
      <c r="K190" t="b">
        <v>1</v>
      </c>
      <c r="L190" t="b">
        <v>1</v>
      </c>
    </row>
    <row r="191" spans="1:17" x14ac:dyDescent="0.35">
      <c r="A191" t="s">
        <v>321</v>
      </c>
      <c r="B191" t="s">
        <v>22</v>
      </c>
      <c r="C191" t="s">
        <v>3</v>
      </c>
      <c r="D191" t="s">
        <v>322</v>
      </c>
      <c r="E191">
        <v>61.892600000000002</v>
      </c>
      <c r="F191">
        <v>-6.91181</v>
      </c>
      <c r="I191">
        <v>0</v>
      </c>
      <c r="J191">
        <v>0</v>
      </c>
      <c r="K191" t="b">
        <v>1</v>
      </c>
      <c r="L191" t="b">
        <v>1</v>
      </c>
    </row>
    <row r="192" spans="1:17" x14ac:dyDescent="0.35">
      <c r="A192" t="s">
        <v>350</v>
      </c>
      <c r="B192" t="s">
        <v>22</v>
      </c>
      <c r="C192" t="s">
        <v>3</v>
      </c>
      <c r="I192">
        <v>0</v>
      </c>
      <c r="J192">
        <v>0</v>
      </c>
      <c r="K192" t="b">
        <v>1</v>
      </c>
      <c r="L192" t="b">
        <v>1</v>
      </c>
    </row>
    <row r="193" spans="1:12" x14ac:dyDescent="0.35">
      <c r="A193" t="s">
        <v>381</v>
      </c>
      <c r="B193" t="s">
        <v>22</v>
      </c>
      <c r="C193" t="s">
        <v>3</v>
      </c>
      <c r="D193" t="s">
        <v>382</v>
      </c>
      <c r="E193">
        <v>64.183599999999998</v>
      </c>
      <c r="F193">
        <v>-51.721400000000003</v>
      </c>
      <c r="I193">
        <v>0</v>
      </c>
      <c r="J193">
        <v>0</v>
      </c>
      <c r="K193" t="b">
        <v>1</v>
      </c>
      <c r="L193" t="b">
        <v>1</v>
      </c>
    </row>
    <row r="194" spans="1:12" x14ac:dyDescent="0.35">
      <c r="A194" t="s">
        <v>428</v>
      </c>
      <c r="B194" t="s">
        <v>22</v>
      </c>
      <c r="C194" t="s">
        <v>3</v>
      </c>
      <c r="D194" t="s">
        <v>429</v>
      </c>
      <c r="E194">
        <v>54.1509</v>
      </c>
      <c r="F194">
        <v>-4.4792800000000002</v>
      </c>
      <c r="I194">
        <v>0</v>
      </c>
      <c r="J194">
        <v>0</v>
      </c>
      <c r="K194" t="b">
        <v>1</v>
      </c>
      <c r="L194" t="b">
        <v>1</v>
      </c>
    </row>
    <row r="195" spans="1:12" x14ac:dyDescent="0.35">
      <c r="A195" t="s">
        <v>546</v>
      </c>
      <c r="B195" t="s">
        <v>22</v>
      </c>
      <c r="C195" t="s">
        <v>3</v>
      </c>
      <c r="D195" t="s">
        <v>547</v>
      </c>
      <c r="E195">
        <v>47.141100000000002</v>
      </c>
      <c r="F195">
        <v>9.5214800000000004</v>
      </c>
      <c r="I195">
        <v>0</v>
      </c>
      <c r="J195">
        <v>0</v>
      </c>
      <c r="K195" t="b">
        <v>1</v>
      </c>
      <c r="L195" t="b">
        <v>1</v>
      </c>
    </row>
    <row r="196" spans="1:12" x14ac:dyDescent="0.35">
      <c r="A196" t="s">
        <v>199</v>
      </c>
      <c r="B196" t="s">
        <v>15</v>
      </c>
      <c r="C196" t="s">
        <v>9</v>
      </c>
      <c r="D196" t="s">
        <v>200</v>
      </c>
      <c r="E196">
        <v>-4.3250000000000002</v>
      </c>
      <c r="F196">
        <v>15.3222</v>
      </c>
      <c r="I196">
        <v>0</v>
      </c>
      <c r="J196">
        <v>0</v>
      </c>
      <c r="K196" t="b">
        <v>1</v>
      </c>
      <c r="L196" t="b">
        <v>1</v>
      </c>
    </row>
    <row r="197" spans="1:12" x14ac:dyDescent="0.35">
      <c r="A197" t="s">
        <v>228</v>
      </c>
      <c r="B197" t="s">
        <v>2</v>
      </c>
      <c r="C197" t="s">
        <v>23</v>
      </c>
      <c r="D197" t="s">
        <v>229</v>
      </c>
      <c r="E197">
        <v>23.133299999999998</v>
      </c>
      <c r="F197">
        <v>-82.366699999999994</v>
      </c>
      <c r="I197">
        <v>0</v>
      </c>
      <c r="J197">
        <v>0</v>
      </c>
      <c r="K197" t="b">
        <v>1</v>
      </c>
      <c r="L197" t="b">
        <v>1</v>
      </c>
    </row>
    <row r="198" spans="1:12" x14ac:dyDescent="0.35">
      <c r="A198" t="s">
        <v>993</v>
      </c>
      <c r="B198" t="s">
        <v>2</v>
      </c>
      <c r="C198" t="s">
        <v>3</v>
      </c>
      <c r="D198" t="s">
        <v>994</v>
      </c>
      <c r="E198">
        <v>18.335799999999999</v>
      </c>
      <c r="F198">
        <v>-64.896299999999997</v>
      </c>
      <c r="I198">
        <v>0</v>
      </c>
      <c r="J198">
        <v>0</v>
      </c>
      <c r="K198" t="b">
        <v>1</v>
      </c>
      <c r="L198" t="b">
        <v>1</v>
      </c>
    </row>
    <row r="199" spans="1:12" x14ac:dyDescent="0.35">
      <c r="A199" t="s">
        <v>946</v>
      </c>
      <c r="B199" t="s">
        <v>48</v>
      </c>
      <c r="C199" t="s">
        <v>23</v>
      </c>
      <c r="D199" t="s">
        <v>947</v>
      </c>
      <c r="E199">
        <v>-8.6314876999999992</v>
      </c>
      <c r="F199">
        <v>179.08956699999999</v>
      </c>
      <c r="I199">
        <v>0</v>
      </c>
      <c r="J199">
        <v>0</v>
      </c>
      <c r="K199" t="b">
        <v>1</v>
      </c>
      <c r="L199" t="b">
        <v>1</v>
      </c>
    </row>
    <row r="200" spans="1:12" x14ac:dyDescent="0.35">
      <c r="A200" t="s">
        <v>390</v>
      </c>
      <c r="B200" t="s">
        <v>48</v>
      </c>
      <c r="C200" t="s">
        <v>3</v>
      </c>
      <c r="D200" t="s">
        <v>391</v>
      </c>
      <c r="E200">
        <v>13.4443</v>
      </c>
      <c r="F200">
        <v>144.79400000000001</v>
      </c>
      <c r="I200">
        <v>0</v>
      </c>
      <c r="J200">
        <v>0</v>
      </c>
      <c r="K200" t="b">
        <v>1</v>
      </c>
      <c r="L200" t="b">
        <v>1</v>
      </c>
    </row>
    <row r="201" spans="1:12" x14ac:dyDescent="0.35">
      <c r="A201" t="s">
        <v>608</v>
      </c>
      <c r="B201" t="s">
        <v>48</v>
      </c>
      <c r="C201" t="s">
        <v>23</v>
      </c>
      <c r="D201" t="s">
        <v>609</v>
      </c>
      <c r="E201">
        <v>7.1104599999999998</v>
      </c>
      <c r="F201">
        <v>171.13499999999999</v>
      </c>
      <c r="I201">
        <v>0</v>
      </c>
      <c r="J201">
        <v>0</v>
      </c>
      <c r="K201" t="b">
        <v>1</v>
      </c>
      <c r="L201" t="b">
        <v>1</v>
      </c>
    </row>
    <row r="202" spans="1:12" x14ac:dyDescent="0.35">
      <c r="A202" t="s">
        <v>675</v>
      </c>
      <c r="B202" t="s">
        <v>48</v>
      </c>
      <c r="C202" t="s">
        <v>3</v>
      </c>
      <c r="D202" t="s">
        <v>676</v>
      </c>
      <c r="E202">
        <v>-22.267700000000001</v>
      </c>
      <c r="F202">
        <v>166.464</v>
      </c>
      <c r="I202">
        <v>0</v>
      </c>
      <c r="J202">
        <v>0</v>
      </c>
      <c r="K202" t="b">
        <v>1</v>
      </c>
      <c r="L202" t="b">
        <v>1</v>
      </c>
    </row>
    <row r="203" spans="1:12" x14ac:dyDescent="0.35">
      <c r="A203" t="s">
        <v>985</v>
      </c>
      <c r="B203" t="s">
        <v>2</v>
      </c>
      <c r="C203" t="s">
        <v>16</v>
      </c>
      <c r="D203" t="s">
        <v>986</v>
      </c>
      <c r="E203">
        <v>9.0816499999999998</v>
      </c>
      <c r="F203">
        <v>-69.837100000000007</v>
      </c>
      <c r="I203">
        <v>0</v>
      </c>
      <c r="J203">
        <v>0</v>
      </c>
      <c r="K203" t="b">
        <v>1</v>
      </c>
      <c r="L203" t="b">
        <v>1</v>
      </c>
    </row>
    <row r="204" spans="1:12" x14ac:dyDescent="0.35">
      <c r="A204" t="s">
        <v>758</v>
      </c>
      <c r="B204" t="s">
        <v>2</v>
      </c>
      <c r="C204" t="s">
        <v>3</v>
      </c>
      <c r="D204" t="s">
        <v>759</v>
      </c>
      <c r="E204">
        <v>18.23</v>
      </c>
      <c r="F204">
        <v>-66</v>
      </c>
      <c r="I204">
        <v>0</v>
      </c>
      <c r="J204">
        <v>0</v>
      </c>
      <c r="K204" t="b">
        <v>1</v>
      </c>
      <c r="L204" t="b">
        <v>1</v>
      </c>
    </row>
    <row r="205" spans="1:12" x14ac:dyDescent="0.35">
      <c r="A205" t="s">
        <v>762</v>
      </c>
      <c r="B205" t="s">
        <v>48</v>
      </c>
      <c r="C205" t="s">
        <v>9</v>
      </c>
      <c r="D205" t="s">
        <v>763</v>
      </c>
      <c r="E205">
        <v>39.0319</v>
      </c>
      <c r="F205">
        <v>125.754</v>
      </c>
      <c r="I205">
        <v>0</v>
      </c>
      <c r="J205">
        <v>0</v>
      </c>
      <c r="K205" t="b">
        <v>1</v>
      </c>
      <c r="L205" t="b">
        <v>1</v>
      </c>
    </row>
    <row r="206" spans="1:12" x14ac:dyDescent="0.35">
      <c r="A206" t="s">
        <v>709</v>
      </c>
      <c r="B206" t="s">
        <v>48</v>
      </c>
      <c r="C206" t="s">
        <v>3</v>
      </c>
      <c r="D206" t="s">
        <v>710</v>
      </c>
      <c r="E206">
        <v>-0.54769999999999996</v>
      </c>
      <c r="F206">
        <v>166.92086699999999</v>
      </c>
      <c r="I206">
        <v>0</v>
      </c>
      <c r="J206">
        <v>0</v>
      </c>
      <c r="K206" t="b">
        <v>1</v>
      </c>
      <c r="L206" t="b">
        <v>1</v>
      </c>
    </row>
    <row r="207" spans="1:12" x14ac:dyDescent="0.35">
      <c r="A207" t="s">
        <v>840</v>
      </c>
      <c r="B207" t="s">
        <v>15</v>
      </c>
      <c r="C207" t="s">
        <v>9</v>
      </c>
      <c r="D207" t="s">
        <v>841</v>
      </c>
      <c r="E207">
        <v>2.0751499999999998</v>
      </c>
      <c r="F207">
        <v>45.325400000000002</v>
      </c>
      <c r="I207">
        <v>0</v>
      </c>
      <c r="J207">
        <v>0</v>
      </c>
      <c r="K207" t="b">
        <v>1</v>
      </c>
      <c r="L207" t="b">
        <v>1</v>
      </c>
    </row>
    <row r="208" spans="1:12" x14ac:dyDescent="0.35">
      <c r="A208" t="s">
        <v>879</v>
      </c>
      <c r="B208" t="s">
        <v>15</v>
      </c>
      <c r="C208" t="s">
        <v>16</v>
      </c>
      <c r="D208" t="s">
        <v>880</v>
      </c>
      <c r="E208">
        <v>-26.522500000000001</v>
      </c>
      <c r="F208">
        <v>31.465900000000001</v>
      </c>
      <c r="I208">
        <v>0</v>
      </c>
      <c r="J208">
        <v>0</v>
      </c>
      <c r="K208" t="b">
        <v>1</v>
      </c>
      <c r="L208" t="b">
        <v>1</v>
      </c>
    </row>
    <row r="209" spans="1:12" x14ac:dyDescent="0.35">
      <c r="A209" t="s">
        <v>883</v>
      </c>
      <c r="B209" t="s">
        <v>2</v>
      </c>
      <c r="C209" t="s">
        <v>3</v>
      </c>
      <c r="D209" t="s">
        <v>884</v>
      </c>
      <c r="I209">
        <v>0</v>
      </c>
      <c r="J209">
        <v>0</v>
      </c>
      <c r="K209" t="b">
        <v>1</v>
      </c>
      <c r="L209" t="b">
        <v>1</v>
      </c>
    </row>
    <row r="210" spans="1:12" x14ac:dyDescent="0.35">
      <c r="A210" t="s">
        <v>890</v>
      </c>
      <c r="B210" t="s">
        <v>8</v>
      </c>
      <c r="C210" t="s">
        <v>9</v>
      </c>
      <c r="D210" t="s">
        <v>891</v>
      </c>
      <c r="E210">
        <v>33.514600000000002</v>
      </c>
      <c r="F210">
        <v>36.311900000000001</v>
      </c>
      <c r="I210">
        <v>0</v>
      </c>
      <c r="J210">
        <v>0</v>
      </c>
      <c r="K210" t="b">
        <v>1</v>
      </c>
      <c r="L210" t="b">
        <v>1</v>
      </c>
    </row>
    <row r="211" spans="1:12" x14ac:dyDescent="0.35">
      <c r="A211" t="s">
        <v>894</v>
      </c>
      <c r="B211" t="s">
        <v>2</v>
      </c>
      <c r="C211" t="s">
        <v>3</v>
      </c>
      <c r="D211" t="s">
        <v>895</v>
      </c>
      <c r="E211">
        <v>21.4602778</v>
      </c>
      <c r="F211">
        <v>-71.141389000000004</v>
      </c>
      <c r="I211">
        <v>0</v>
      </c>
      <c r="J211">
        <v>0</v>
      </c>
      <c r="K211" t="b">
        <v>1</v>
      </c>
      <c r="L211" t="b">
        <v>1</v>
      </c>
    </row>
    <row r="212" spans="1:12" x14ac:dyDescent="0.35">
      <c r="A212" t="s">
        <v>913</v>
      </c>
      <c r="B212" t="s">
        <v>22</v>
      </c>
      <c r="C212" t="s">
        <v>16</v>
      </c>
      <c r="D212" t="s">
        <v>914</v>
      </c>
      <c r="E212">
        <v>38.587800000000001</v>
      </c>
      <c r="F212">
        <v>68.7864</v>
      </c>
      <c r="I212">
        <v>0</v>
      </c>
      <c r="J212">
        <v>0</v>
      </c>
      <c r="K212" t="b">
        <v>1</v>
      </c>
      <c r="L212" t="b">
        <v>1</v>
      </c>
    </row>
    <row r="213" spans="1:12" x14ac:dyDescent="0.35">
      <c r="A213" t="s">
        <v>917</v>
      </c>
      <c r="B213" t="s">
        <v>22</v>
      </c>
      <c r="C213" t="s">
        <v>23</v>
      </c>
      <c r="D213" t="s">
        <v>918</v>
      </c>
      <c r="E213">
        <v>37.950899999999997</v>
      </c>
      <c r="F213">
        <v>58.379399999999997</v>
      </c>
      <c r="I213">
        <v>0</v>
      </c>
      <c r="J213">
        <v>0</v>
      </c>
      <c r="K213" t="b">
        <v>1</v>
      </c>
      <c r="L213" t="b">
        <v>1</v>
      </c>
    </row>
    <row r="214" spans="1:12" x14ac:dyDescent="0.35">
      <c r="A214" t="s">
        <v>778</v>
      </c>
      <c r="B214" t="s">
        <v>48</v>
      </c>
      <c r="C214" t="s">
        <v>3</v>
      </c>
      <c r="D214" t="s">
        <v>779</v>
      </c>
      <c r="E214">
        <v>-17.535</v>
      </c>
      <c r="F214">
        <v>-149.57</v>
      </c>
      <c r="I214">
        <v>0</v>
      </c>
      <c r="J214">
        <v>0</v>
      </c>
      <c r="K214" t="b">
        <v>1</v>
      </c>
      <c r="L214" t="b">
        <v>1</v>
      </c>
    </row>
    <row r="215" spans="1:12" x14ac:dyDescent="0.35">
      <c r="A215" t="s">
        <v>989</v>
      </c>
      <c r="B215" t="s">
        <v>2</v>
      </c>
      <c r="C215" t="s">
        <v>3</v>
      </c>
      <c r="D215" t="s">
        <v>990</v>
      </c>
      <c r="E215">
        <v>18.431388999999999</v>
      </c>
      <c r="F215">
        <v>-64.623056000000005</v>
      </c>
      <c r="I215">
        <v>0</v>
      </c>
      <c r="J215">
        <v>0</v>
      </c>
      <c r="K215" t="b">
        <v>1</v>
      </c>
      <c r="L215" t="b">
        <v>1</v>
      </c>
    </row>
    <row r="216" spans="1:12" x14ac:dyDescent="0.35">
      <c r="A216" t="s">
        <v>148</v>
      </c>
      <c r="B216" t="s">
        <v>48</v>
      </c>
      <c r="C216" t="s">
        <v>3</v>
      </c>
      <c r="D216" t="s">
        <v>149</v>
      </c>
      <c r="E216">
        <v>4.9419899999999997</v>
      </c>
      <c r="F216">
        <v>114.946</v>
      </c>
      <c r="G216" t="s">
        <v>152</v>
      </c>
      <c r="H216">
        <v>2024</v>
      </c>
      <c r="I216">
        <v>-0.38867416503646102</v>
      </c>
      <c r="J216">
        <v>0</v>
      </c>
      <c r="K216" t="b">
        <v>1</v>
      </c>
      <c r="L216" t="b">
        <v>1</v>
      </c>
    </row>
    <row r="217" spans="1:12" x14ac:dyDescent="0.35">
      <c r="A217" t="s">
        <v>223</v>
      </c>
      <c r="B217" t="s">
        <v>2</v>
      </c>
      <c r="C217" t="s">
        <v>3</v>
      </c>
      <c r="D217" t="s">
        <v>224</v>
      </c>
      <c r="E217">
        <v>9.6370100000000001</v>
      </c>
      <c r="F217">
        <v>-84.008899999999997</v>
      </c>
      <c r="G217" t="s">
        <v>227</v>
      </c>
      <c r="H217">
        <v>2024</v>
      </c>
      <c r="I217">
        <v>-0.41285300104706901</v>
      </c>
      <c r="J217">
        <v>0</v>
      </c>
      <c r="K217" t="b">
        <v>1</v>
      </c>
      <c r="L217" t="b">
        <v>1</v>
      </c>
    </row>
    <row r="218" spans="1:12" x14ac:dyDescent="0.35">
      <c r="A218" t="s">
        <v>541</v>
      </c>
      <c r="B218" t="s">
        <v>2</v>
      </c>
      <c r="C218" t="s">
        <v>23</v>
      </c>
      <c r="D218" t="s">
        <v>542</v>
      </c>
      <c r="E218">
        <v>14</v>
      </c>
      <c r="F218">
        <v>-60.983199999999997</v>
      </c>
      <c r="G218" t="s">
        <v>545</v>
      </c>
      <c r="H218">
        <v>2024</v>
      </c>
      <c r="I218">
        <v>-0.67424085341877904</v>
      </c>
      <c r="J218">
        <v>0</v>
      </c>
      <c r="K218" t="b">
        <v>1</v>
      </c>
      <c r="L218" t="b">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4081-68F6-4E56-9388-2BC0F27DFA66}">
  <dimension ref="A1:U219"/>
  <sheetViews>
    <sheetView workbookViewId="0">
      <selection activeCell="D7" sqref="D7"/>
    </sheetView>
  </sheetViews>
  <sheetFormatPr defaultRowHeight="14.5" x14ac:dyDescent="0.35"/>
  <cols>
    <col min="1" max="1" width="26.7265625" bestFit="1" customWidth="1"/>
    <col min="2" max="2" width="42.26953125" bestFit="1" customWidth="1"/>
    <col min="3" max="3" width="18.90625" bestFit="1" customWidth="1"/>
    <col min="4" max="4" width="18.54296875" bestFit="1" customWidth="1"/>
    <col min="5" max="5" width="10.81640625" bestFit="1" customWidth="1"/>
    <col min="6" max="6" width="11.36328125" bestFit="1" customWidth="1"/>
    <col min="7" max="7" width="14.54296875" bestFit="1" customWidth="1"/>
    <col min="8" max="8" width="14.36328125" bestFit="1" customWidth="1"/>
    <col min="9" max="9" width="14.453125" bestFit="1" customWidth="1"/>
    <col min="10" max="10" width="19.36328125" bestFit="1" customWidth="1"/>
    <col min="11" max="11" width="21" bestFit="1" customWidth="1"/>
    <col min="12" max="12" width="25" bestFit="1" customWidth="1"/>
    <col min="13" max="13" width="7.453125" bestFit="1" customWidth="1"/>
    <col min="14" max="14" width="11.90625" bestFit="1" customWidth="1"/>
    <col min="15" max="15" width="13.6328125" bestFit="1" customWidth="1"/>
    <col min="16" max="16" width="18.08984375" bestFit="1" customWidth="1"/>
    <col min="17" max="17" width="17.26953125" bestFit="1" customWidth="1"/>
    <col min="18" max="18" width="23.54296875" bestFit="1" customWidth="1"/>
    <col min="19" max="19" width="28.54296875" bestFit="1" customWidth="1"/>
    <col min="20" max="20" width="18.81640625" bestFit="1" customWidth="1"/>
    <col min="21" max="21" width="21.36328125" bestFit="1" customWidth="1"/>
  </cols>
  <sheetData>
    <row r="1" spans="1:21" x14ac:dyDescent="0.35">
      <c r="A1" s="12" t="s">
        <v>1037</v>
      </c>
      <c r="B1" s="13" t="s">
        <v>1038</v>
      </c>
      <c r="C1" s="13" t="s">
        <v>1039</v>
      </c>
      <c r="D1" s="13" t="s">
        <v>1040</v>
      </c>
      <c r="E1" s="13" t="s">
        <v>1041</v>
      </c>
      <c r="F1" s="13" t="s">
        <v>1042</v>
      </c>
      <c r="G1" s="13" t="s">
        <v>1036</v>
      </c>
      <c r="H1" s="13" t="s">
        <v>1043</v>
      </c>
      <c r="I1" s="13" t="s">
        <v>1091</v>
      </c>
      <c r="J1" s="13" t="s">
        <v>1118</v>
      </c>
      <c r="K1" s="13" t="s">
        <v>1115</v>
      </c>
      <c r="L1" s="13" t="s">
        <v>1116</v>
      </c>
      <c r="M1" s="13" t="s">
        <v>1047</v>
      </c>
      <c r="N1" s="13" t="s">
        <v>1048</v>
      </c>
      <c r="O1" s="13" t="s">
        <v>1045</v>
      </c>
      <c r="P1" s="13" t="s">
        <v>1049</v>
      </c>
      <c r="Q1" s="13" t="s">
        <v>1052</v>
      </c>
      <c r="R1" s="13" t="s">
        <v>1051</v>
      </c>
      <c r="S1" s="13" t="s">
        <v>1050</v>
      </c>
      <c r="T1" s="13" t="s">
        <v>1053</v>
      </c>
      <c r="U1" s="14" t="s">
        <v>1054</v>
      </c>
    </row>
    <row r="2" spans="1:21" x14ac:dyDescent="0.35">
      <c r="A2" s="15" t="s">
        <v>234</v>
      </c>
      <c r="B2" s="2" t="s">
        <v>2</v>
      </c>
      <c r="C2" s="2" t="s">
        <v>3</v>
      </c>
      <c r="D2" s="2" t="s">
        <v>235</v>
      </c>
      <c r="E2" s="2">
        <v>19.302199999999999</v>
      </c>
      <c r="F2" s="2">
        <v>-81.3857</v>
      </c>
      <c r="G2" s="2"/>
      <c r="H2" s="2"/>
      <c r="I2" s="2">
        <v>0</v>
      </c>
      <c r="J2" s="2">
        <v>94.3</v>
      </c>
      <c r="K2" s="2" t="b">
        <v>1</v>
      </c>
      <c r="L2" s="2" t="b">
        <v>1</v>
      </c>
      <c r="M2" s="2">
        <v>60.2</v>
      </c>
      <c r="N2" s="2">
        <v>85.6</v>
      </c>
      <c r="O2" s="2">
        <v>92.1</v>
      </c>
      <c r="P2" s="2">
        <v>115.8</v>
      </c>
      <c r="Q2" s="2">
        <v>6.36</v>
      </c>
      <c r="R2" s="2"/>
      <c r="S2" s="2"/>
      <c r="T2" s="2">
        <v>2500</v>
      </c>
      <c r="U2" s="16"/>
    </row>
    <row r="3" spans="1:21" x14ac:dyDescent="0.35">
      <c r="A3" s="15" t="s">
        <v>173</v>
      </c>
      <c r="B3" s="2" t="s">
        <v>22</v>
      </c>
      <c r="C3" s="2" t="s">
        <v>3</v>
      </c>
      <c r="D3" s="2" t="s">
        <v>174</v>
      </c>
      <c r="E3" s="2">
        <v>46.948</v>
      </c>
      <c r="F3" s="2">
        <v>7.4482100000000004</v>
      </c>
      <c r="G3" s="2" t="s">
        <v>177</v>
      </c>
      <c r="H3" s="2">
        <v>2024</v>
      </c>
      <c r="I3" s="2">
        <v>1.0623404197659501</v>
      </c>
      <c r="J3" s="2">
        <v>82.3</v>
      </c>
      <c r="K3" s="2" t="b">
        <v>1</v>
      </c>
      <c r="L3" s="2" t="b">
        <v>1</v>
      </c>
      <c r="M3" s="2">
        <v>50.1</v>
      </c>
      <c r="N3" s="2">
        <v>75.2</v>
      </c>
      <c r="O3" s="2">
        <v>88.4</v>
      </c>
      <c r="P3" s="2">
        <v>120.5</v>
      </c>
      <c r="Q3" s="2">
        <v>3.81</v>
      </c>
      <c r="R3" s="2">
        <v>6.36</v>
      </c>
      <c r="S3" s="2">
        <v>149.69999999999999</v>
      </c>
      <c r="T3" s="2">
        <v>1850</v>
      </c>
      <c r="U3" s="16">
        <v>220</v>
      </c>
    </row>
    <row r="4" spans="1:21" x14ac:dyDescent="0.35">
      <c r="A4" s="15" t="s">
        <v>817</v>
      </c>
      <c r="B4" s="2" t="s">
        <v>48</v>
      </c>
      <c r="C4" s="2" t="s">
        <v>3</v>
      </c>
      <c r="D4" s="2" t="s">
        <v>817</v>
      </c>
      <c r="E4" s="2">
        <v>1.2894099999999999</v>
      </c>
      <c r="F4" s="2">
        <v>103.85</v>
      </c>
      <c r="G4" s="2" t="s">
        <v>820</v>
      </c>
      <c r="H4" s="2">
        <v>2024</v>
      </c>
      <c r="I4" s="2">
        <v>2.3895112359501698</v>
      </c>
      <c r="J4" s="2">
        <v>80.900000000000006</v>
      </c>
      <c r="K4" s="2" t="b">
        <v>1</v>
      </c>
      <c r="L4" s="2" t="b">
        <v>1</v>
      </c>
      <c r="M4" s="2">
        <v>55.3</v>
      </c>
      <c r="N4" s="2">
        <v>70.099999999999994</v>
      </c>
      <c r="O4" s="2">
        <v>72.8</v>
      </c>
      <c r="P4" s="2">
        <v>95.2</v>
      </c>
      <c r="Q4" s="2">
        <v>3.05</v>
      </c>
      <c r="R4" s="2"/>
      <c r="S4" s="2"/>
      <c r="T4" s="2">
        <v>3167</v>
      </c>
      <c r="U4" s="16">
        <v>180</v>
      </c>
    </row>
    <row r="5" spans="1:21" x14ac:dyDescent="0.35">
      <c r="A5" s="15" t="s">
        <v>452</v>
      </c>
      <c r="B5" s="2" t="s">
        <v>22</v>
      </c>
      <c r="C5" s="2" t="s">
        <v>3</v>
      </c>
      <c r="D5" s="2" t="s">
        <v>453</v>
      </c>
      <c r="E5" s="2">
        <v>64.135300000000001</v>
      </c>
      <c r="F5" s="2">
        <v>-21.895199999999999</v>
      </c>
      <c r="G5" s="2" t="s">
        <v>456</v>
      </c>
      <c r="H5" s="2">
        <v>2024</v>
      </c>
      <c r="I5" s="2">
        <v>5.8568384997007197</v>
      </c>
      <c r="J5" s="2">
        <v>78.2</v>
      </c>
      <c r="K5" s="2" t="b">
        <v>1</v>
      </c>
      <c r="L5" s="2" t="b">
        <v>1</v>
      </c>
      <c r="M5" s="2">
        <v>45.6</v>
      </c>
      <c r="N5" s="2">
        <v>72.3</v>
      </c>
      <c r="O5" s="2">
        <v>82.1</v>
      </c>
      <c r="P5" s="2">
        <v>98.7</v>
      </c>
      <c r="Q5" s="2">
        <v>4.26</v>
      </c>
      <c r="R5" s="2">
        <v>7.94</v>
      </c>
      <c r="S5" s="2">
        <v>131.85</v>
      </c>
      <c r="T5" s="2"/>
      <c r="U5" s="16"/>
    </row>
    <row r="6" spans="1:21" x14ac:dyDescent="0.35">
      <c r="A6" s="15" t="s">
        <v>143</v>
      </c>
      <c r="B6" s="2" t="s">
        <v>2</v>
      </c>
      <c r="C6" s="2" t="s">
        <v>3</v>
      </c>
      <c r="D6" s="2" t="s">
        <v>144</v>
      </c>
      <c r="E6" s="2">
        <v>13.093500000000001</v>
      </c>
      <c r="F6" s="2">
        <v>-59.610500000000002</v>
      </c>
      <c r="G6" s="2" t="s">
        <v>147</v>
      </c>
      <c r="H6" s="2">
        <v>2024</v>
      </c>
      <c r="I6" s="2">
        <v>1.4464366430616</v>
      </c>
      <c r="J6" s="2">
        <v>75.2</v>
      </c>
      <c r="K6" s="2" t="b">
        <v>1</v>
      </c>
      <c r="L6" s="2" t="b">
        <v>1</v>
      </c>
      <c r="M6" s="2">
        <v>41.8</v>
      </c>
      <c r="N6" s="2">
        <v>70.8</v>
      </c>
      <c r="O6" s="2">
        <v>73.2</v>
      </c>
      <c r="P6" s="2">
        <v>88.5</v>
      </c>
      <c r="Q6" s="2"/>
      <c r="R6" s="2"/>
      <c r="S6" s="2"/>
      <c r="T6" s="2">
        <v>1200</v>
      </c>
      <c r="U6" s="16"/>
    </row>
    <row r="7" spans="1:21" x14ac:dyDescent="0.35">
      <c r="A7" s="15" t="s">
        <v>970</v>
      </c>
      <c r="B7" s="2" t="s">
        <v>129</v>
      </c>
      <c r="C7" s="2" t="s">
        <v>3</v>
      </c>
      <c r="D7" s="2" t="s">
        <v>971</v>
      </c>
      <c r="E7" s="2">
        <v>38.889499999999998</v>
      </c>
      <c r="F7" s="2">
        <v>-77.031999999999996</v>
      </c>
      <c r="G7" s="2" t="s">
        <v>974</v>
      </c>
      <c r="H7" s="2">
        <v>2024</v>
      </c>
      <c r="I7" s="2">
        <v>2.9495252048520699</v>
      </c>
      <c r="J7" s="2">
        <v>74.3</v>
      </c>
      <c r="K7" s="2" t="b">
        <v>1</v>
      </c>
      <c r="L7" s="2" t="b">
        <v>1</v>
      </c>
      <c r="M7" s="2">
        <v>35.200000000000003</v>
      </c>
      <c r="N7" s="2">
        <v>68.5</v>
      </c>
      <c r="O7" s="2">
        <v>70.2</v>
      </c>
      <c r="P7" s="2">
        <v>100</v>
      </c>
      <c r="Q7" s="2">
        <v>3.65</v>
      </c>
      <c r="R7" s="2"/>
      <c r="S7" s="2"/>
      <c r="T7" s="2">
        <v>1603</v>
      </c>
      <c r="U7" s="16">
        <v>150</v>
      </c>
    </row>
    <row r="8" spans="1:21" x14ac:dyDescent="0.35">
      <c r="A8" s="15" t="s">
        <v>699</v>
      </c>
      <c r="B8" s="2" t="s">
        <v>22</v>
      </c>
      <c r="C8" s="2" t="s">
        <v>3</v>
      </c>
      <c r="D8" s="2" t="s">
        <v>700</v>
      </c>
      <c r="E8" s="2">
        <v>59.913800000000002</v>
      </c>
      <c r="F8" s="2">
        <v>10.7387</v>
      </c>
      <c r="G8" s="2" t="s">
        <v>703</v>
      </c>
      <c r="H8" s="2">
        <v>2024</v>
      </c>
      <c r="I8" s="2">
        <v>3.14530134431081</v>
      </c>
      <c r="J8" s="2">
        <v>73.8</v>
      </c>
      <c r="K8" s="2" t="b">
        <v>1</v>
      </c>
      <c r="L8" s="2" t="b">
        <v>1</v>
      </c>
      <c r="M8" s="2">
        <v>38.9</v>
      </c>
      <c r="N8" s="2">
        <v>69.8</v>
      </c>
      <c r="O8" s="2">
        <v>78.5</v>
      </c>
      <c r="P8" s="2">
        <v>105.3</v>
      </c>
      <c r="Q8" s="2">
        <v>3.52</v>
      </c>
      <c r="R8" s="2">
        <v>6.54</v>
      </c>
      <c r="S8" s="2">
        <v>145.19999999999999</v>
      </c>
      <c r="T8" s="2"/>
      <c r="U8" s="16"/>
    </row>
    <row r="9" spans="1:21" x14ac:dyDescent="0.35">
      <c r="A9" s="15" t="s">
        <v>32</v>
      </c>
      <c r="B9" s="2" t="s">
        <v>8</v>
      </c>
      <c r="C9" s="2" t="s">
        <v>3</v>
      </c>
      <c r="D9" s="2" t="s">
        <v>33</v>
      </c>
      <c r="E9" s="2">
        <v>24.476400000000002</v>
      </c>
      <c r="F9" s="2">
        <v>54.3705</v>
      </c>
      <c r="G9" s="2" t="s">
        <v>36</v>
      </c>
      <c r="H9" s="2">
        <v>2024</v>
      </c>
      <c r="I9" s="2">
        <v>1.66336510224894</v>
      </c>
      <c r="J9" s="2">
        <v>72.400000000000006</v>
      </c>
      <c r="K9" s="2" t="b">
        <v>1</v>
      </c>
      <c r="L9" s="2" t="b">
        <v>1</v>
      </c>
      <c r="M9" s="2">
        <v>34.200000000000003</v>
      </c>
      <c r="N9" s="2">
        <v>68.5</v>
      </c>
      <c r="O9" s="2">
        <v>70.8</v>
      </c>
      <c r="P9" s="2">
        <v>96.2</v>
      </c>
      <c r="Q9" s="2"/>
      <c r="R9" s="2"/>
      <c r="S9" s="2"/>
      <c r="T9" s="2">
        <v>1100</v>
      </c>
      <c r="U9" s="16"/>
    </row>
    <row r="10" spans="1:21" x14ac:dyDescent="0.35">
      <c r="A10" s="15" t="s">
        <v>262</v>
      </c>
      <c r="B10" s="2" t="s">
        <v>22</v>
      </c>
      <c r="C10" s="2" t="s">
        <v>3</v>
      </c>
      <c r="D10" s="2" t="s">
        <v>263</v>
      </c>
      <c r="E10" s="2">
        <v>55.676299999999998</v>
      </c>
      <c r="F10" s="2">
        <v>12.568099999999999</v>
      </c>
      <c r="G10" s="2" t="s">
        <v>266</v>
      </c>
      <c r="H10" s="2">
        <v>2024</v>
      </c>
      <c r="I10" s="2">
        <v>1.3722004976892599</v>
      </c>
      <c r="J10" s="2">
        <v>72.099999999999994</v>
      </c>
      <c r="K10" s="2" t="b">
        <v>1</v>
      </c>
      <c r="L10" s="2" t="b">
        <v>1</v>
      </c>
      <c r="M10" s="2">
        <v>36.4</v>
      </c>
      <c r="N10" s="2">
        <v>67.2</v>
      </c>
      <c r="O10" s="2">
        <v>75.3</v>
      </c>
      <c r="P10" s="2">
        <v>102.8</v>
      </c>
      <c r="Q10" s="2">
        <v>3.48</v>
      </c>
      <c r="R10" s="2">
        <v>5.42</v>
      </c>
      <c r="S10" s="2">
        <v>128.5</v>
      </c>
      <c r="T10" s="2"/>
      <c r="U10" s="16"/>
    </row>
    <row r="11" spans="1:21" x14ac:dyDescent="0.35">
      <c r="A11" s="15" t="s">
        <v>782</v>
      </c>
      <c r="B11" s="2" t="s">
        <v>8</v>
      </c>
      <c r="C11" s="2" t="s">
        <v>3</v>
      </c>
      <c r="D11" s="2" t="s">
        <v>783</v>
      </c>
      <c r="E11" s="2">
        <v>25.294799999999999</v>
      </c>
      <c r="F11" s="2">
        <v>51.508200000000002</v>
      </c>
      <c r="G11" s="2" t="s">
        <v>786</v>
      </c>
      <c r="H11" s="2">
        <v>2024</v>
      </c>
      <c r="I11" s="2">
        <v>1.2673431029237501</v>
      </c>
      <c r="J11" s="2">
        <v>70.8</v>
      </c>
      <c r="K11" s="2" t="b">
        <v>1</v>
      </c>
      <c r="L11" s="2" t="b">
        <v>1</v>
      </c>
      <c r="M11" s="2">
        <v>31.5</v>
      </c>
      <c r="N11" s="2">
        <v>66.2</v>
      </c>
      <c r="O11" s="2">
        <v>68.5</v>
      </c>
      <c r="P11" s="2">
        <v>92.8</v>
      </c>
      <c r="Q11" s="2"/>
      <c r="R11" s="2"/>
      <c r="S11" s="2"/>
      <c r="T11" s="2">
        <v>900</v>
      </c>
      <c r="U11" s="16"/>
    </row>
    <row r="12" spans="1:21" x14ac:dyDescent="0.35">
      <c r="A12" s="15" t="s">
        <v>57</v>
      </c>
      <c r="B12" s="2" t="s">
        <v>48</v>
      </c>
      <c r="C12" s="2" t="s">
        <v>3</v>
      </c>
      <c r="D12" s="2" t="s">
        <v>58</v>
      </c>
      <c r="E12" s="2">
        <v>-35.281999999999996</v>
      </c>
      <c r="F12" s="2">
        <v>149.12899999999999</v>
      </c>
      <c r="G12" s="2" t="s">
        <v>61</v>
      </c>
      <c r="H12" s="2">
        <v>2024</v>
      </c>
      <c r="I12" s="2">
        <v>3.16656665428797</v>
      </c>
      <c r="J12" s="2">
        <v>69.5</v>
      </c>
      <c r="K12" s="2" t="b">
        <v>1</v>
      </c>
      <c r="L12" s="2" t="b">
        <v>1</v>
      </c>
      <c r="M12" s="2">
        <v>32.799999999999997</v>
      </c>
      <c r="N12" s="2">
        <v>65.400000000000006</v>
      </c>
      <c r="O12" s="2">
        <v>68.900000000000006</v>
      </c>
      <c r="P12" s="2">
        <v>95.6</v>
      </c>
      <c r="Q12" s="2">
        <v>3.25</v>
      </c>
      <c r="R12" s="2"/>
      <c r="S12" s="2"/>
      <c r="T12" s="2">
        <v>1450</v>
      </c>
      <c r="U12" s="16">
        <v>140</v>
      </c>
    </row>
    <row r="13" spans="1:21" x14ac:dyDescent="0.35">
      <c r="A13" s="15" t="s">
        <v>437</v>
      </c>
      <c r="B13" s="2" t="s">
        <v>22</v>
      </c>
      <c r="C13" s="2" t="s">
        <v>3</v>
      </c>
      <c r="D13" s="2" t="s">
        <v>438</v>
      </c>
      <c r="E13" s="2">
        <v>53.344099999999997</v>
      </c>
      <c r="F13" s="2">
        <v>-6.2674899999999996</v>
      </c>
      <c r="G13" s="2" t="s">
        <v>441</v>
      </c>
      <c r="H13" s="2">
        <v>2024</v>
      </c>
      <c r="I13" s="2">
        <v>2.1134499957731698</v>
      </c>
      <c r="J13" s="2">
        <v>68.900000000000006</v>
      </c>
      <c r="K13" s="2" t="b">
        <v>1</v>
      </c>
      <c r="L13" s="2" t="b">
        <v>1</v>
      </c>
      <c r="M13" s="2">
        <v>40.200000000000003</v>
      </c>
      <c r="N13" s="2">
        <v>64.7</v>
      </c>
      <c r="O13" s="2">
        <v>70.099999999999994</v>
      </c>
      <c r="P13" s="2">
        <v>92.4</v>
      </c>
      <c r="Q13" s="2"/>
      <c r="R13" s="2"/>
      <c r="S13" s="2"/>
      <c r="T13" s="2"/>
      <c r="U13" s="16"/>
    </row>
    <row r="14" spans="1:21" x14ac:dyDescent="0.35">
      <c r="A14" s="15" t="s">
        <v>802</v>
      </c>
      <c r="B14" s="2" t="s">
        <v>8</v>
      </c>
      <c r="C14" s="2" t="s">
        <v>3</v>
      </c>
      <c r="D14" s="2" t="s">
        <v>803</v>
      </c>
      <c r="E14" s="2">
        <v>24.674800000000001</v>
      </c>
      <c r="F14" s="2">
        <v>46.697699999999998</v>
      </c>
      <c r="G14" s="2" t="s">
        <v>806</v>
      </c>
      <c r="H14" s="2">
        <v>2024</v>
      </c>
      <c r="I14" s="2">
        <v>1.68792112375809</v>
      </c>
      <c r="J14" s="2">
        <v>68.2</v>
      </c>
      <c r="K14" s="2" t="b">
        <v>1</v>
      </c>
      <c r="L14" s="2" t="b">
        <v>1</v>
      </c>
      <c r="M14" s="2">
        <v>28.4</v>
      </c>
      <c r="N14" s="2">
        <v>64.2</v>
      </c>
      <c r="O14" s="2">
        <v>66.099999999999994</v>
      </c>
      <c r="P14" s="2">
        <v>89.4</v>
      </c>
      <c r="Q14" s="2"/>
      <c r="R14" s="2"/>
      <c r="S14" s="2"/>
      <c r="T14" s="2">
        <v>750</v>
      </c>
      <c r="U14" s="16"/>
    </row>
    <row r="15" spans="1:21" x14ac:dyDescent="0.35">
      <c r="A15" s="15" t="s">
        <v>335</v>
      </c>
      <c r="B15" s="2" t="s">
        <v>22</v>
      </c>
      <c r="C15" s="2" t="s">
        <v>3</v>
      </c>
      <c r="D15" s="2" t="s">
        <v>336</v>
      </c>
      <c r="E15" s="2">
        <v>51.5002</v>
      </c>
      <c r="F15" s="2">
        <v>-0.12623599999999999</v>
      </c>
      <c r="G15" s="2" t="s">
        <v>339</v>
      </c>
      <c r="H15" s="2">
        <v>2024</v>
      </c>
      <c r="I15" s="2">
        <v>3.2715729463591998</v>
      </c>
      <c r="J15" s="2">
        <v>67.8</v>
      </c>
      <c r="K15" s="2" t="b">
        <v>1</v>
      </c>
      <c r="L15" s="2" t="b">
        <v>1</v>
      </c>
      <c r="M15" s="2">
        <v>30.5</v>
      </c>
      <c r="N15" s="2">
        <v>63.2</v>
      </c>
      <c r="O15" s="2">
        <v>66.7</v>
      </c>
      <c r="P15" s="2">
        <v>90.2</v>
      </c>
      <c r="Q15" s="2">
        <v>3.12</v>
      </c>
      <c r="R15" s="2">
        <v>4.4800000000000004</v>
      </c>
      <c r="S15" s="2">
        <v>105.2</v>
      </c>
      <c r="T15" s="2">
        <v>1235</v>
      </c>
      <c r="U15" s="16">
        <v>160</v>
      </c>
    </row>
    <row r="16" spans="1:21" x14ac:dyDescent="0.35">
      <c r="A16" s="15" t="s">
        <v>516</v>
      </c>
      <c r="B16" s="2" t="s">
        <v>8</v>
      </c>
      <c r="C16" s="2" t="s">
        <v>3</v>
      </c>
      <c r="D16" s="2" t="s">
        <v>517</v>
      </c>
      <c r="E16" s="2">
        <v>29.3721</v>
      </c>
      <c r="F16" s="2">
        <v>47.982399999999998</v>
      </c>
      <c r="G16" s="2" t="s">
        <v>520</v>
      </c>
      <c r="H16" s="2">
        <v>2024</v>
      </c>
      <c r="I16" s="2">
        <v>2.8985507246376199</v>
      </c>
      <c r="J16" s="2">
        <v>67.5</v>
      </c>
      <c r="K16" s="2" t="b">
        <v>1</v>
      </c>
      <c r="L16" s="2" t="b">
        <v>1</v>
      </c>
      <c r="M16" s="2">
        <v>27.8</v>
      </c>
      <c r="N16" s="2">
        <v>63.8</v>
      </c>
      <c r="O16" s="2">
        <v>65.2</v>
      </c>
      <c r="P16" s="2">
        <v>88.2</v>
      </c>
      <c r="Q16" s="2"/>
      <c r="R16" s="2"/>
      <c r="S16" s="2"/>
      <c r="T16" s="2">
        <v>680</v>
      </c>
      <c r="U16" s="16"/>
    </row>
    <row r="17" spans="1:21" x14ac:dyDescent="0.35">
      <c r="A17" s="15" t="s">
        <v>713</v>
      </c>
      <c r="B17" s="2" t="s">
        <v>48</v>
      </c>
      <c r="C17" s="2" t="s">
        <v>3</v>
      </c>
      <c r="D17" s="2" t="s">
        <v>714</v>
      </c>
      <c r="E17" s="2">
        <v>-41.286499999999997</v>
      </c>
      <c r="F17" s="2">
        <v>174.77600000000001</v>
      </c>
      <c r="G17" s="2" t="s">
        <v>717</v>
      </c>
      <c r="H17" s="2">
        <v>2024</v>
      </c>
      <c r="I17" s="2">
        <v>2.9227978230195699</v>
      </c>
      <c r="J17" s="2">
        <v>66.2</v>
      </c>
      <c r="K17" s="2" t="b">
        <v>1</v>
      </c>
      <c r="L17" s="2" t="b">
        <v>1</v>
      </c>
      <c r="M17" s="2">
        <v>29.8</v>
      </c>
      <c r="N17" s="2">
        <v>62.8</v>
      </c>
      <c r="O17" s="2">
        <v>65.3</v>
      </c>
      <c r="P17" s="2">
        <v>88.5</v>
      </c>
      <c r="Q17" s="2"/>
      <c r="R17" s="2"/>
      <c r="S17" s="2"/>
      <c r="T17" s="2"/>
      <c r="U17" s="16"/>
    </row>
    <row r="18" spans="1:21" x14ac:dyDescent="0.35">
      <c r="A18" s="15" t="s">
        <v>168</v>
      </c>
      <c r="B18" s="2" t="s">
        <v>129</v>
      </c>
      <c r="C18" s="2" t="s">
        <v>3</v>
      </c>
      <c r="D18" s="2" t="s">
        <v>169</v>
      </c>
      <c r="E18" s="2">
        <v>45.421500000000002</v>
      </c>
      <c r="F18" s="2">
        <v>-75.691900000000004</v>
      </c>
      <c r="G18" s="2" t="s">
        <v>172</v>
      </c>
      <c r="H18" s="2">
        <v>2024</v>
      </c>
      <c r="I18" s="2">
        <v>2.3815838328117298</v>
      </c>
      <c r="J18" s="2">
        <v>65.400000000000006</v>
      </c>
      <c r="K18" s="2" t="b">
        <v>1</v>
      </c>
      <c r="L18" s="2" t="b">
        <v>1</v>
      </c>
      <c r="M18" s="2">
        <v>28.4</v>
      </c>
      <c r="N18" s="2">
        <v>61.5</v>
      </c>
      <c r="O18" s="2">
        <v>64.2</v>
      </c>
      <c r="P18" s="2">
        <v>92.1</v>
      </c>
      <c r="Q18" s="2">
        <v>3.18</v>
      </c>
      <c r="R18" s="2"/>
      <c r="S18" s="2"/>
      <c r="T18" s="2">
        <v>1200</v>
      </c>
      <c r="U18" s="16">
        <v>145</v>
      </c>
    </row>
    <row r="19" spans="1:21" x14ac:dyDescent="0.35">
      <c r="A19" s="15" t="s">
        <v>103</v>
      </c>
      <c r="B19" s="2" t="s">
        <v>8</v>
      </c>
      <c r="C19" s="2" t="s">
        <v>3</v>
      </c>
      <c r="D19" s="2" t="s">
        <v>104</v>
      </c>
      <c r="E19" s="2">
        <v>26.1921</v>
      </c>
      <c r="F19" s="2">
        <v>50.535400000000003</v>
      </c>
      <c r="G19" s="2" t="s">
        <v>107</v>
      </c>
      <c r="H19" s="2">
        <v>2024</v>
      </c>
      <c r="I19" s="2">
        <v>0.91963545981765105</v>
      </c>
      <c r="J19" s="2">
        <v>65.2</v>
      </c>
      <c r="K19" s="2" t="b">
        <v>1</v>
      </c>
      <c r="L19" s="2" t="b">
        <v>1</v>
      </c>
      <c r="M19" s="2">
        <v>26.1</v>
      </c>
      <c r="N19" s="2">
        <v>61.8</v>
      </c>
      <c r="O19" s="2">
        <v>63.5</v>
      </c>
      <c r="P19" s="2">
        <v>86.2</v>
      </c>
      <c r="Q19" s="2"/>
      <c r="R19" s="2"/>
      <c r="S19" s="2"/>
      <c r="T19" s="2">
        <v>600</v>
      </c>
      <c r="U19" s="16"/>
    </row>
    <row r="20" spans="1:21" x14ac:dyDescent="0.35">
      <c r="A20" s="15" t="s">
        <v>316</v>
      </c>
      <c r="B20" s="2" t="s">
        <v>22</v>
      </c>
      <c r="C20" s="2" t="s">
        <v>3</v>
      </c>
      <c r="D20" s="2" t="s">
        <v>317</v>
      </c>
      <c r="E20" s="2">
        <v>48.8566</v>
      </c>
      <c r="F20" s="2">
        <v>2.3509699999999998</v>
      </c>
      <c r="G20" s="2" t="s">
        <v>320</v>
      </c>
      <c r="H20" s="2">
        <v>2024</v>
      </c>
      <c r="I20" s="2">
        <v>1.9990494229146301</v>
      </c>
      <c r="J20" s="2">
        <v>64.8</v>
      </c>
      <c r="K20" s="2" t="b">
        <v>1</v>
      </c>
      <c r="L20" s="2" t="b">
        <v>1</v>
      </c>
      <c r="M20" s="2">
        <v>27.9</v>
      </c>
      <c r="N20" s="2">
        <v>60.8</v>
      </c>
      <c r="O20" s="2">
        <v>63.5</v>
      </c>
      <c r="P20" s="2">
        <v>89.7</v>
      </c>
      <c r="Q20" s="2">
        <v>2.78</v>
      </c>
      <c r="R20" s="2">
        <v>4.62</v>
      </c>
      <c r="S20" s="2">
        <v>108.4</v>
      </c>
      <c r="T20" s="2">
        <v>738</v>
      </c>
      <c r="U20" s="16">
        <v>155</v>
      </c>
    </row>
    <row r="21" spans="1:21" x14ac:dyDescent="0.35">
      <c r="A21" s="15" t="s">
        <v>718</v>
      </c>
      <c r="B21" s="2" t="s">
        <v>8</v>
      </c>
      <c r="C21" s="2" t="s">
        <v>3</v>
      </c>
      <c r="D21" s="2" t="s">
        <v>719</v>
      </c>
      <c r="E21" s="2">
        <v>23.610499999999998</v>
      </c>
      <c r="F21" s="2">
        <v>58.587400000000002</v>
      </c>
      <c r="G21" s="2" t="s">
        <v>722</v>
      </c>
      <c r="H21" s="2">
        <v>2024</v>
      </c>
      <c r="I21" s="2">
        <v>0.59358923624846904</v>
      </c>
      <c r="J21" s="2">
        <v>64.8</v>
      </c>
      <c r="K21" s="2" t="b">
        <v>1</v>
      </c>
      <c r="L21" s="2" t="b">
        <v>1</v>
      </c>
      <c r="M21" s="2">
        <v>25.2</v>
      </c>
      <c r="N21" s="2">
        <v>61.2</v>
      </c>
      <c r="O21" s="2">
        <v>62.8</v>
      </c>
      <c r="P21" s="2">
        <v>85.6</v>
      </c>
      <c r="Q21" s="2"/>
      <c r="R21" s="2"/>
      <c r="S21" s="2"/>
      <c r="T21" s="2">
        <v>550</v>
      </c>
      <c r="U21" s="16"/>
    </row>
    <row r="22" spans="1:21" x14ac:dyDescent="0.35">
      <c r="A22" s="15" t="s">
        <v>248</v>
      </c>
      <c r="B22" s="2" t="s">
        <v>22</v>
      </c>
      <c r="C22" s="2" t="s">
        <v>3</v>
      </c>
      <c r="D22" s="2" t="s">
        <v>249</v>
      </c>
      <c r="E22" s="2">
        <v>52.523499999999999</v>
      </c>
      <c r="F22" s="2">
        <v>13.4115</v>
      </c>
      <c r="G22" s="2" t="s">
        <v>252</v>
      </c>
      <c r="H22" s="2">
        <v>2024</v>
      </c>
      <c r="I22" s="2">
        <v>2.2564981433876001</v>
      </c>
      <c r="J22" s="2">
        <v>64.099999999999994</v>
      </c>
      <c r="K22" s="2" t="b">
        <v>1</v>
      </c>
      <c r="L22" s="2" t="b">
        <v>1</v>
      </c>
      <c r="M22" s="2">
        <v>26.5</v>
      </c>
      <c r="N22" s="2">
        <v>59.7</v>
      </c>
      <c r="O22" s="2">
        <v>62.8</v>
      </c>
      <c r="P22" s="2">
        <v>91.3</v>
      </c>
      <c r="Q22" s="2">
        <v>2.72</v>
      </c>
      <c r="R22" s="2">
        <v>4.8499999999999996</v>
      </c>
      <c r="S22" s="2">
        <v>112.3</v>
      </c>
      <c r="T22" s="2">
        <v>850</v>
      </c>
      <c r="U22" s="16">
        <v>170</v>
      </c>
    </row>
    <row r="23" spans="1:21" x14ac:dyDescent="0.35">
      <c r="A23" s="15" t="s">
        <v>476</v>
      </c>
      <c r="B23" s="2" t="s">
        <v>48</v>
      </c>
      <c r="C23" s="2" t="s">
        <v>3</v>
      </c>
      <c r="D23" s="2" t="s">
        <v>477</v>
      </c>
      <c r="E23" s="2">
        <v>35.67</v>
      </c>
      <c r="F23" s="2">
        <v>139.77000000000001</v>
      </c>
      <c r="G23" s="2" t="s">
        <v>480</v>
      </c>
      <c r="H23" s="2">
        <v>2024</v>
      </c>
      <c r="I23" s="2">
        <v>2.73853681635241</v>
      </c>
      <c r="J23" s="2">
        <v>63.2</v>
      </c>
      <c r="K23" s="2" t="b">
        <v>1</v>
      </c>
      <c r="L23" s="2" t="b">
        <v>1</v>
      </c>
      <c r="M23" s="2">
        <v>24.8</v>
      </c>
      <c r="N23" s="2">
        <v>58.9</v>
      </c>
      <c r="O23" s="2">
        <v>61.2</v>
      </c>
      <c r="P23" s="2">
        <v>85.4</v>
      </c>
      <c r="Q23" s="2">
        <v>2.85</v>
      </c>
      <c r="R23" s="2"/>
      <c r="S23" s="2"/>
      <c r="T23" s="2">
        <v>750</v>
      </c>
      <c r="U23" s="16">
        <v>130</v>
      </c>
    </row>
    <row r="24" spans="1:21" x14ac:dyDescent="0.35">
      <c r="A24" s="15" t="s">
        <v>461</v>
      </c>
      <c r="B24" s="2" t="s">
        <v>22</v>
      </c>
      <c r="C24" s="2" t="s">
        <v>3</v>
      </c>
      <c r="D24" s="2" t="s">
        <v>462</v>
      </c>
      <c r="E24" s="2">
        <v>41.895499999999998</v>
      </c>
      <c r="F24" s="2">
        <v>12.4823</v>
      </c>
      <c r="G24" s="2" t="s">
        <v>465</v>
      </c>
      <c r="H24" s="2">
        <v>2024</v>
      </c>
      <c r="I24" s="2">
        <v>0.98237302306141705</v>
      </c>
      <c r="J24" s="2">
        <v>62.5</v>
      </c>
      <c r="K24" s="2" t="b">
        <v>1</v>
      </c>
      <c r="L24" s="2" t="b">
        <v>1</v>
      </c>
      <c r="M24" s="2">
        <v>23.7</v>
      </c>
      <c r="N24" s="2">
        <v>58.2</v>
      </c>
      <c r="O24" s="2">
        <v>60.5</v>
      </c>
      <c r="P24" s="2">
        <v>83.6</v>
      </c>
      <c r="Q24" s="2">
        <v>2.65</v>
      </c>
      <c r="R24" s="2">
        <v>4.25</v>
      </c>
      <c r="S24" s="2">
        <v>98.5</v>
      </c>
      <c r="T24" s="2">
        <v>550</v>
      </c>
      <c r="U24" s="16">
        <v>110</v>
      </c>
    </row>
    <row r="25" spans="1:21" x14ac:dyDescent="0.35">
      <c r="A25" s="15" t="s">
        <v>291</v>
      </c>
      <c r="B25" s="2" t="s">
        <v>22</v>
      </c>
      <c r="C25" s="2" t="s">
        <v>3</v>
      </c>
      <c r="D25" s="2" t="s">
        <v>292</v>
      </c>
      <c r="E25" s="2">
        <v>40.416699999999999</v>
      </c>
      <c r="F25" s="2">
        <v>-3.7032699999999998</v>
      </c>
      <c r="G25" s="2" t="s">
        <v>295</v>
      </c>
      <c r="H25" s="2">
        <v>2024</v>
      </c>
      <c r="I25" s="2">
        <v>2.7471478866179999</v>
      </c>
      <c r="J25" s="2">
        <v>60.8</v>
      </c>
      <c r="K25" s="2" t="b">
        <v>1</v>
      </c>
      <c r="L25" s="2" t="b">
        <v>1</v>
      </c>
      <c r="M25" s="2">
        <v>22.4</v>
      </c>
      <c r="N25" s="2">
        <v>56.8</v>
      </c>
      <c r="O25" s="2">
        <v>58.9</v>
      </c>
      <c r="P25" s="2">
        <v>82.1</v>
      </c>
      <c r="Q25" s="2">
        <v>2.58</v>
      </c>
      <c r="R25" s="2">
        <v>4.08</v>
      </c>
      <c r="S25" s="2">
        <v>92.6</v>
      </c>
      <c r="T25" s="2">
        <v>480</v>
      </c>
      <c r="U25" s="16">
        <v>95</v>
      </c>
    </row>
    <row r="26" spans="1:21" x14ac:dyDescent="0.35">
      <c r="A26" s="15" t="s">
        <v>766</v>
      </c>
      <c r="B26" s="2" t="s">
        <v>22</v>
      </c>
      <c r="C26" s="2" t="s">
        <v>3</v>
      </c>
      <c r="D26" s="2" t="s">
        <v>767</v>
      </c>
      <c r="E26" s="2">
        <v>38.7072</v>
      </c>
      <c r="F26" s="2">
        <v>-9.1355199999999996</v>
      </c>
      <c r="G26" s="2" t="s">
        <v>770</v>
      </c>
      <c r="H26" s="2">
        <v>2024</v>
      </c>
      <c r="I26" s="2">
        <v>2.4161318779187599</v>
      </c>
      <c r="J26" s="2">
        <v>58.2</v>
      </c>
      <c r="K26" s="2" t="b">
        <v>1</v>
      </c>
      <c r="L26" s="2" t="b">
        <v>1</v>
      </c>
      <c r="M26" s="2">
        <v>20.5</v>
      </c>
      <c r="N26" s="2">
        <v>54.7</v>
      </c>
      <c r="O26" s="2">
        <v>56.2</v>
      </c>
      <c r="P26" s="2">
        <v>78.900000000000006</v>
      </c>
      <c r="Q26" s="2">
        <v>2.4500000000000002</v>
      </c>
      <c r="R26" s="2">
        <v>3.85</v>
      </c>
      <c r="S26" s="2">
        <v>85.4</v>
      </c>
      <c r="T26" s="2">
        <v>420</v>
      </c>
      <c r="U26" s="16">
        <v>80</v>
      </c>
    </row>
    <row r="27" spans="1:21" x14ac:dyDescent="0.35">
      <c r="A27" s="15" t="s">
        <v>371</v>
      </c>
      <c r="B27" s="2" t="s">
        <v>22</v>
      </c>
      <c r="C27" s="2" t="s">
        <v>3</v>
      </c>
      <c r="D27" s="2" t="s">
        <v>372</v>
      </c>
      <c r="E27" s="2">
        <v>37.979199999999999</v>
      </c>
      <c r="F27" s="2">
        <v>23.7166</v>
      </c>
      <c r="G27" s="2" t="s">
        <v>375</v>
      </c>
      <c r="H27" s="2">
        <v>2024</v>
      </c>
      <c r="I27" s="2">
        <v>2.7410187567948601</v>
      </c>
      <c r="J27" s="2">
        <v>57.1</v>
      </c>
      <c r="K27" s="2" t="b">
        <v>1</v>
      </c>
      <c r="L27" s="2" t="b">
        <v>1</v>
      </c>
      <c r="M27" s="2">
        <v>19.2</v>
      </c>
      <c r="N27" s="2">
        <v>53.8</v>
      </c>
      <c r="O27" s="2">
        <v>55.1</v>
      </c>
      <c r="P27" s="2">
        <v>76.400000000000006</v>
      </c>
      <c r="Q27" s="2">
        <v>2.38</v>
      </c>
      <c r="R27" s="2">
        <v>3.62</v>
      </c>
      <c r="S27" s="2">
        <v>78.2</v>
      </c>
      <c r="T27" s="2">
        <v>380</v>
      </c>
      <c r="U27" s="16">
        <v>75</v>
      </c>
    </row>
    <row r="28" spans="1:21" x14ac:dyDescent="0.35">
      <c r="A28" s="15" t="s">
        <v>665</v>
      </c>
      <c r="B28" s="2" t="s">
        <v>48</v>
      </c>
      <c r="C28" s="2" t="s">
        <v>23</v>
      </c>
      <c r="D28" s="2" t="s">
        <v>666</v>
      </c>
      <c r="E28" s="2">
        <v>3.1243300000000001</v>
      </c>
      <c r="F28" s="2">
        <v>101.684</v>
      </c>
      <c r="G28" s="2" t="s">
        <v>669</v>
      </c>
      <c r="H28" s="2">
        <v>2024</v>
      </c>
      <c r="I28" s="2">
        <v>1.834100204499</v>
      </c>
      <c r="J28" s="2">
        <v>56.8</v>
      </c>
      <c r="K28" s="2" t="b">
        <v>1</v>
      </c>
      <c r="L28" s="2" t="b">
        <v>1</v>
      </c>
      <c r="M28" s="2">
        <v>19.5</v>
      </c>
      <c r="N28" s="2">
        <v>53.8</v>
      </c>
      <c r="O28" s="2">
        <v>54.8</v>
      </c>
      <c r="P28" s="2">
        <v>75.2</v>
      </c>
      <c r="Q28" s="2"/>
      <c r="R28" s="2"/>
      <c r="S28" s="2"/>
      <c r="T28" s="2">
        <v>380</v>
      </c>
      <c r="U28" s="16"/>
    </row>
    <row r="29" spans="1:21" x14ac:dyDescent="0.35">
      <c r="A29" s="15" t="s">
        <v>753</v>
      </c>
      <c r="B29" s="2" t="s">
        <v>22</v>
      </c>
      <c r="C29" s="2" t="s">
        <v>3</v>
      </c>
      <c r="D29" s="2" t="s">
        <v>754</v>
      </c>
      <c r="E29" s="2">
        <v>52.26</v>
      </c>
      <c r="F29" s="2">
        <v>21.02</v>
      </c>
      <c r="G29" s="2" t="s">
        <v>757</v>
      </c>
      <c r="H29" s="2">
        <v>2024</v>
      </c>
      <c r="I29" s="2">
        <v>3.7906089763019701</v>
      </c>
      <c r="J29" s="2">
        <v>55.8</v>
      </c>
      <c r="K29" s="2" t="b">
        <v>1</v>
      </c>
      <c r="L29" s="2" t="b">
        <v>1</v>
      </c>
      <c r="M29" s="2">
        <v>18.600000000000001</v>
      </c>
      <c r="N29" s="2">
        <v>52.4</v>
      </c>
      <c r="O29" s="2">
        <v>53.8</v>
      </c>
      <c r="P29" s="2">
        <v>74.2</v>
      </c>
      <c r="Q29" s="2">
        <v>2.25</v>
      </c>
      <c r="R29" s="2">
        <v>3.45</v>
      </c>
      <c r="S29" s="2">
        <v>72.5</v>
      </c>
      <c r="T29" s="2">
        <v>450</v>
      </c>
      <c r="U29" s="16">
        <v>85</v>
      </c>
    </row>
    <row r="30" spans="1:21" x14ac:dyDescent="0.35">
      <c r="A30" s="15" t="s">
        <v>908</v>
      </c>
      <c r="B30" s="2" t="s">
        <v>48</v>
      </c>
      <c r="C30" s="2" t="s">
        <v>23</v>
      </c>
      <c r="D30" s="2" t="s">
        <v>909</v>
      </c>
      <c r="E30" s="2">
        <v>13.7308</v>
      </c>
      <c r="F30" s="2">
        <v>100.521</v>
      </c>
      <c r="G30" s="2" t="s">
        <v>912</v>
      </c>
      <c r="H30" s="2">
        <v>2024</v>
      </c>
      <c r="I30" s="2">
        <v>0.39833333333342202</v>
      </c>
      <c r="J30" s="2">
        <v>55.2</v>
      </c>
      <c r="K30" s="2" t="b">
        <v>1</v>
      </c>
      <c r="L30" s="2" t="b">
        <v>1</v>
      </c>
      <c r="M30" s="2">
        <v>18.2</v>
      </c>
      <c r="N30" s="2">
        <v>52.4</v>
      </c>
      <c r="O30" s="2">
        <v>53.2</v>
      </c>
      <c r="P30" s="2">
        <v>72.8</v>
      </c>
      <c r="Q30" s="2"/>
      <c r="R30" s="2"/>
      <c r="S30" s="2"/>
      <c r="T30" s="2">
        <v>350</v>
      </c>
      <c r="U30" s="16"/>
    </row>
    <row r="31" spans="1:21" x14ac:dyDescent="0.35">
      <c r="A31" s="15" t="s">
        <v>550</v>
      </c>
      <c r="B31" s="2" t="s">
        <v>93</v>
      </c>
      <c r="C31" s="2" t="s">
        <v>23</v>
      </c>
      <c r="D31" s="2" t="s">
        <v>551</v>
      </c>
      <c r="E31" s="2">
        <v>6.9214799999999999</v>
      </c>
      <c r="F31" s="2">
        <v>79.852800000000002</v>
      </c>
      <c r="G31" s="2" t="s">
        <v>554</v>
      </c>
      <c r="H31" s="2">
        <v>2024</v>
      </c>
      <c r="I31" s="2">
        <v>-0.42936004906973002</v>
      </c>
      <c r="J31" s="2">
        <v>53.8</v>
      </c>
      <c r="K31" s="2" t="b">
        <v>1</v>
      </c>
      <c r="L31" s="2" t="b">
        <v>1</v>
      </c>
      <c r="M31" s="2">
        <v>17.2</v>
      </c>
      <c r="N31" s="2">
        <v>50.8</v>
      </c>
      <c r="O31" s="2">
        <v>51.5</v>
      </c>
      <c r="P31" s="2">
        <v>70.2</v>
      </c>
      <c r="Q31" s="2"/>
      <c r="R31" s="2">
        <v>0.27</v>
      </c>
      <c r="S31" s="2">
        <v>9.93</v>
      </c>
      <c r="T31" s="2">
        <v>200</v>
      </c>
      <c r="U31" s="16"/>
    </row>
    <row r="32" spans="1:21" x14ac:dyDescent="0.35">
      <c r="A32" s="15" t="s">
        <v>603</v>
      </c>
      <c r="B32" s="2" t="s">
        <v>2</v>
      </c>
      <c r="C32" s="2" t="s">
        <v>23</v>
      </c>
      <c r="D32" s="2" t="s">
        <v>604</v>
      </c>
      <c r="E32" s="2">
        <v>19.427</v>
      </c>
      <c r="F32" s="2">
        <v>-99.127600000000001</v>
      </c>
      <c r="G32" s="2" t="s">
        <v>607</v>
      </c>
      <c r="H32" s="2">
        <v>2024</v>
      </c>
      <c r="I32" s="2">
        <v>4.7222558845293197</v>
      </c>
      <c r="J32" s="2">
        <v>52.8</v>
      </c>
      <c r="K32" s="2" t="b">
        <v>1</v>
      </c>
      <c r="L32" s="2" t="b">
        <v>1</v>
      </c>
      <c r="M32" s="2">
        <v>16.8</v>
      </c>
      <c r="N32" s="2">
        <v>50.1</v>
      </c>
      <c r="O32" s="2">
        <v>51.2</v>
      </c>
      <c r="P32" s="2">
        <v>69.8</v>
      </c>
      <c r="Q32" s="2">
        <v>1.98</v>
      </c>
      <c r="R32" s="2">
        <v>3.05</v>
      </c>
      <c r="S32" s="2">
        <v>58.2</v>
      </c>
      <c r="T32" s="2">
        <v>350</v>
      </c>
      <c r="U32" s="16">
        <v>55</v>
      </c>
    </row>
    <row r="33" spans="1:21" x14ac:dyDescent="0.35">
      <c r="A33" s="15" t="s">
        <v>704</v>
      </c>
      <c r="B33" s="2" t="s">
        <v>93</v>
      </c>
      <c r="C33" s="2" t="s">
        <v>16</v>
      </c>
      <c r="D33" s="2" t="s">
        <v>705</v>
      </c>
      <c r="E33" s="2">
        <v>27.693899999999999</v>
      </c>
      <c r="F33" s="2">
        <v>85.315700000000007</v>
      </c>
      <c r="G33" s="2" t="s">
        <v>708</v>
      </c>
      <c r="H33" s="2">
        <v>2024</v>
      </c>
      <c r="I33" s="2">
        <v>4.6850965426576998</v>
      </c>
      <c r="J33" s="2">
        <v>51.5</v>
      </c>
      <c r="K33" s="2" t="b">
        <v>1</v>
      </c>
      <c r="L33" s="2" t="b">
        <v>1</v>
      </c>
      <c r="M33" s="2">
        <v>15.8</v>
      </c>
      <c r="N33" s="2">
        <v>49.2</v>
      </c>
      <c r="O33" s="2">
        <v>49.8</v>
      </c>
      <c r="P33" s="2">
        <v>67.8</v>
      </c>
      <c r="Q33" s="2"/>
      <c r="R33" s="2"/>
      <c r="S33" s="2"/>
      <c r="T33" s="2">
        <v>150</v>
      </c>
      <c r="U33" s="16"/>
    </row>
    <row r="34" spans="1:21" x14ac:dyDescent="0.35">
      <c r="A34" s="15" t="s">
        <v>138</v>
      </c>
      <c r="B34" s="2" t="s">
        <v>2</v>
      </c>
      <c r="C34" s="2" t="s">
        <v>23</v>
      </c>
      <c r="D34" s="2" t="s">
        <v>139</v>
      </c>
      <c r="E34" s="2">
        <v>-15.780099999999999</v>
      </c>
      <c r="F34" s="2">
        <v>-47.929200000000002</v>
      </c>
      <c r="G34" s="2" t="s">
        <v>142</v>
      </c>
      <c r="H34" s="2">
        <v>2024</v>
      </c>
      <c r="I34" s="2">
        <v>4.3674640765233699</v>
      </c>
      <c r="J34" s="2">
        <v>51.4</v>
      </c>
      <c r="K34" s="2" t="b">
        <v>1</v>
      </c>
      <c r="L34" s="2" t="b">
        <v>1</v>
      </c>
      <c r="M34" s="2">
        <v>15.9</v>
      </c>
      <c r="N34" s="2">
        <v>49.2</v>
      </c>
      <c r="O34" s="2">
        <v>50.1</v>
      </c>
      <c r="P34" s="2">
        <v>67.5</v>
      </c>
      <c r="Q34" s="2">
        <v>1.85</v>
      </c>
      <c r="R34" s="2">
        <v>2.85</v>
      </c>
      <c r="S34" s="2">
        <v>52.4</v>
      </c>
      <c r="T34" s="2">
        <v>270</v>
      </c>
      <c r="U34" s="16">
        <v>70</v>
      </c>
    </row>
    <row r="35" spans="1:21" x14ac:dyDescent="0.35">
      <c r="A35" s="15" t="s">
        <v>1021</v>
      </c>
      <c r="B35" s="2" t="s">
        <v>15</v>
      </c>
      <c r="C35" s="2" t="s">
        <v>23</v>
      </c>
      <c r="D35" s="2" t="s">
        <v>1022</v>
      </c>
      <c r="E35" s="2">
        <v>-25.745999999999999</v>
      </c>
      <c r="F35" s="2">
        <v>28.187100000000001</v>
      </c>
      <c r="G35" s="2" t="s">
        <v>1025</v>
      </c>
      <c r="H35" s="2">
        <v>2024</v>
      </c>
      <c r="I35" s="2">
        <v>4.3611524651896199</v>
      </c>
      <c r="J35" s="2">
        <v>50.2</v>
      </c>
      <c r="K35" s="2" t="b">
        <v>1</v>
      </c>
      <c r="L35" s="2" t="b">
        <v>1</v>
      </c>
      <c r="M35" s="2">
        <v>15.2</v>
      </c>
      <c r="N35" s="2">
        <v>48.5</v>
      </c>
      <c r="O35" s="2">
        <v>49.3</v>
      </c>
      <c r="P35" s="2">
        <v>65.8</v>
      </c>
      <c r="Q35" s="2">
        <v>1.78</v>
      </c>
      <c r="R35" s="2">
        <v>2.68</v>
      </c>
      <c r="S35" s="2">
        <v>48.5</v>
      </c>
      <c r="T35" s="2">
        <v>320</v>
      </c>
      <c r="U35" s="16">
        <v>60</v>
      </c>
    </row>
    <row r="36" spans="1:21" x14ac:dyDescent="0.35">
      <c r="A36" s="15" t="s">
        <v>496</v>
      </c>
      <c r="B36" s="2" t="s">
        <v>48</v>
      </c>
      <c r="C36" s="2" t="s">
        <v>16</v>
      </c>
      <c r="D36" s="2" t="s">
        <v>497</v>
      </c>
      <c r="E36" s="2">
        <v>11.5556</v>
      </c>
      <c r="F36" s="2">
        <v>104.874</v>
      </c>
      <c r="G36" s="2" t="s">
        <v>500</v>
      </c>
      <c r="H36" s="2">
        <v>2024</v>
      </c>
      <c r="I36" s="2">
        <v>0.80804201653665397</v>
      </c>
      <c r="J36" s="2">
        <v>50.2</v>
      </c>
      <c r="K36" s="2" t="b">
        <v>1</v>
      </c>
      <c r="L36" s="2" t="b">
        <v>1</v>
      </c>
      <c r="M36" s="2">
        <v>14.5</v>
      </c>
      <c r="N36" s="2">
        <v>48.2</v>
      </c>
      <c r="O36" s="2">
        <v>48.5</v>
      </c>
      <c r="P36" s="2">
        <v>65.2</v>
      </c>
      <c r="Q36" s="2"/>
      <c r="R36" s="2"/>
      <c r="S36" s="2"/>
      <c r="T36" s="2">
        <v>160</v>
      </c>
      <c r="U36" s="16"/>
    </row>
    <row r="37" spans="1:21" x14ac:dyDescent="0.35">
      <c r="A37" s="15" t="s">
        <v>184</v>
      </c>
      <c r="B37" s="2" t="s">
        <v>48</v>
      </c>
      <c r="C37" s="2" t="s">
        <v>23</v>
      </c>
      <c r="D37" s="2" t="s">
        <v>185</v>
      </c>
      <c r="E37" s="2">
        <v>40.049500000000002</v>
      </c>
      <c r="F37" s="2">
        <v>116.286</v>
      </c>
      <c r="G37" s="2" t="s">
        <v>188</v>
      </c>
      <c r="H37" s="2">
        <v>2024</v>
      </c>
      <c r="I37" s="2">
        <v>0.21812893843917699</v>
      </c>
      <c r="J37" s="2">
        <v>49.8</v>
      </c>
      <c r="K37" s="2" t="b">
        <v>1</v>
      </c>
      <c r="L37" s="2" t="b">
        <v>1</v>
      </c>
      <c r="M37" s="2">
        <v>14.8</v>
      </c>
      <c r="N37" s="2">
        <v>47.8</v>
      </c>
      <c r="O37" s="2">
        <v>48.5</v>
      </c>
      <c r="P37" s="2">
        <v>64.2</v>
      </c>
      <c r="Q37" s="2">
        <v>1.65</v>
      </c>
      <c r="R37" s="2">
        <v>2.4500000000000002</v>
      </c>
      <c r="S37" s="2">
        <v>42.8</v>
      </c>
      <c r="T37" s="2">
        <v>540</v>
      </c>
      <c r="U37" s="16">
        <v>80</v>
      </c>
    </row>
    <row r="38" spans="1:21" x14ac:dyDescent="0.35">
      <c r="A38" s="15" t="s">
        <v>627</v>
      </c>
      <c r="B38" s="2" t="s">
        <v>48</v>
      </c>
      <c r="C38" s="2" t="s">
        <v>16</v>
      </c>
      <c r="D38" s="2" t="s">
        <v>628</v>
      </c>
      <c r="E38" s="2">
        <v>21.914000000000001</v>
      </c>
      <c r="F38" s="2">
        <v>95.956199999999995</v>
      </c>
      <c r="G38" s="2"/>
      <c r="H38" s="2"/>
      <c r="I38" s="2">
        <v>0</v>
      </c>
      <c r="J38" s="2">
        <v>48.8</v>
      </c>
      <c r="K38" s="2" t="b">
        <v>1</v>
      </c>
      <c r="L38" s="2" t="b">
        <v>1</v>
      </c>
      <c r="M38" s="2">
        <v>13.2</v>
      </c>
      <c r="N38" s="2">
        <v>46.8</v>
      </c>
      <c r="O38" s="2">
        <v>46.9</v>
      </c>
      <c r="P38" s="2">
        <v>62.8</v>
      </c>
      <c r="Q38" s="2"/>
      <c r="R38" s="2"/>
      <c r="S38" s="2"/>
      <c r="T38" s="2">
        <v>140</v>
      </c>
      <c r="U38" s="16"/>
    </row>
    <row r="39" spans="1:21" x14ac:dyDescent="0.35">
      <c r="A39" s="15" t="s">
        <v>432</v>
      </c>
      <c r="B39" s="2" t="s">
        <v>93</v>
      </c>
      <c r="C39" s="2" t="s">
        <v>16</v>
      </c>
      <c r="D39" s="2" t="s">
        <v>433</v>
      </c>
      <c r="E39" s="2">
        <v>28.635300000000001</v>
      </c>
      <c r="F39" s="2">
        <v>77.224999999999994</v>
      </c>
      <c r="G39" s="2" t="s">
        <v>436</v>
      </c>
      <c r="H39" s="2">
        <v>2024</v>
      </c>
      <c r="I39" s="2">
        <v>4.9530355097366101</v>
      </c>
      <c r="J39" s="2">
        <v>48.5</v>
      </c>
      <c r="K39" s="2" t="b">
        <v>1</v>
      </c>
      <c r="L39" s="2" t="b">
        <v>1</v>
      </c>
      <c r="M39" s="2">
        <v>13.5</v>
      </c>
      <c r="N39" s="2">
        <v>46.2</v>
      </c>
      <c r="O39" s="2">
        <v>47.1</v>
      </c>
      <c r="P39" s="2">
        <v>62.5</v>
      </c>
      <c r="Q39" s="2">
        <v>1.52</v>
      </c>
      <c r="R39" s="2">
        <v>2.1800000000000002</v>
      </c>
      <c r="S39" s="2">
        <v>35.200000000000003</v>
      </c>
      <c r="T39" s="2">
        <v>164</v>
      </c>
      <c r="U39" s="16">
        <v>45</v>
      </c>
    </row>
    <row r="40" spans="1:21" x14ac:dyDescent="0.35">
      <c r="A40" s="15" t="s">
        <v>636</v>
      </c>
      <c r="B40" s="2" t="s">
        <v>48</v>
      </c>
      <c r="C40" s="2" t="s">
        <v>23</v>
      </c>
      <c r="D40" s="2" t="s">
        <v>637</v>
      </c>
      <c r="E40" s="2">
        <v>47.9129</v>
      </c>
      <c r="F40" s="2">
        <v>106.937</v>
      </c>
      <c r="G40" s="2" t="s">
        <v>640</v>
      </c>
      <c r="H40" s="2">
        <v>2024</v>
      </c>
      <c r="I40" s="2">
        <v>6.1977990165841996</v>
      </c>
      <c r="J40" s="2">
        <v>47.5</v>
      </c>
      <c r="K40" s="2" t="b">
        <v>1</v>
      </c>
      <c r="L40" s="2" t="b">
        <v>1</v>
      </c>
      <c r="M40" s="2">
        <v>12.5</v>
      </c>
      <c r="N40" s="2">
        <v>45.5</v>
      </c>
      <c r="O40" s="2">
        <v>45.8</v>
      </c>
      <c r="P40" s="2">
        <v>60.5</v>
      </c>
      <c r="Q40" s="2"/>
      <c r="R40" s="2"/>
      <c r="S40" s="2"/>
      <c r="T40" s="2"/>
      <c r="U40" s="16"/>
    </row>
    <row r="41" spans="1:21" x14ac:dyDescent="0.35">
      <c r="A41" s="15" t="s">
        <v>423</v>
      </c>
      <c r="B41" s="2" t="s">
        <v>48</v>
      </c>
      <c r="C41" s="2" t="s">
        <v>23</v>
      </c>
      <c r="D41" s="2" t="s">
        <v>424</v>
      </c>
      <c r="E41" s="2">
        <v>-6.1975199999999999</v>
      </c>
      <c r="F41" s="2">
        <v>106.83</v>
      </c>
      <c r="G41" s="2" t="s">
        <v>427</v>
      </c>
      <c r="H41" s="2">
        <v>2024</v>
      </c>
      <c r="I41" s="2">
        <v>2.1815127361518898</v>
      </c>
      <c r="J41" s="2">
        <v>47.2</v>
      </c>
      <c r="K41" s="2" t="b">
        <v>1</v>
      </c>
      <c r="L41" s="2" t="b">
        <v>1</v>
      </c>
      <c r="M41" s="2">
        <v>12.8</v>
      </c>
      <c r="N41" s="2">
        <v>45.1</v>
      </c>
      <c r="O41" s="2">
        <v>45.8</v>
      </c>
      <c r="P41" s="2">
        <v>60.8</v>
      </c>
      <c r="Q41" s="2">
        <v>1.45</v>
      </c>
      <c r="R41" s="2">
        <v>2.0499999999999998</v>
      </c>
      <c r="S41" s="2">
        <v>32.4</v>
      </c>
      <c r="T41" s="2">
        <v>305</v>
      </c>
      <c r="U41" s="16">
        <v>55</v>
      </c>
    </row>
    <row r="42" spans="1:21" x14ac:dyDescent="0.35">
      <c r="A42" s="15" t="s">
        <v>738</v>
      </c>
      <c r="B42" s="2" t="s">
        <v>48</v>
      </c>
      <c r="C42" s="2" t="s">
        <v>23</v>
      </c>
      <c r="D42" s="2" t="s">
        <v>739</v>
      </c>
      <c r="E42" s="2">
        <v>14.551500000000001</v>
      </c>
      <c r="F42" s="2">
        <v>121.035</v>
      </c>
      <c r="G42" s="2" t="s">
        <v>742</v>
      </c>
      <c r="H42" s="2">
        <v>2024</v>
      </c>
      <c r="I42" s="2">
        <v>3.21260487006347</v>
      </c>
      <c r="J42" s="2">
        <v>46.1</v>
      </c>
      <c r="K42" s="2" t="b">
        <v>1</v>
      </c>
      <c r="L42" s="2" t="b">
        <v>1</v>
      </c>
      <c r="M42" s="2">
        <v>12.2</v>
      </c>
      <c r="N42" s="2">
        <v>44.2</v>
      </c>
      <c r="O42" s="2">
        <v>44.5</v>
      </c>
      <c r="P42" s="2">
        <v>59.2</v>
      </c>
      <c r="Q42" s="2">
        <v>1.38</v>
      </c>
      <c r="R42" s="2">
        <v>1.92</v>
      </c>
      <c r="S42" s="2">
        <v>28.5</v>
      </c>
      <c r="T42" s="2">
        <v>280</v>
      </c>
      <c r="U42" s="16">
        <v>48</v>
      </c>
    </row>
    <row r="43" spans="1:21" x14ac:dyDescent="0.35">
      <c r="A43" s="15" t="s">
        <v>723</v>
      </c>
      <c r="B43" s="2" t="s">
        <v>8</v>
      </c>
      <c r="C43" s="2" t="s">
        <v>16</v>
      </c>
      <c r="D43" s="2" t="s">
        <v>724</v>
      </c>
      <c r="E43" s="2">
        <v>30.5167</v>
      </c>
      <c r="F43" s="2">
        <v>72.8</v>
      </c>
      <c r="G43" s="2" t="s">
        <v>727</v>
      </c>
      <c r="H43" s="2">
        <v>2024</v>
      </c>
      <c r="I43" s="2">
        <v>12.632531853045201</v>
      </c>
      <c r="J43" s="2">
        <v>43.2</v>
      </c>
      <c r="K43" s="2" t="b">
        <v>1</v>
      </c>
      <c r="L43" s="2" t="b">
        <v>1</v>
      </c>
      <c r="M43" s="2">
        <v>10.8</v>
      </c>
      <c r="N43" s="2">
        <v>41.8</v>
      </c>
      <c r="O43" s="2">
        <v>41.9</v>
      </c>
      <c r="P43" s="2">
        <v>55.8</v>
      </c>
      <c r="Q43" s="2">
        <v>1.18</v>
      </c>
      <c r="R43" s="2">
        <v>1.52</v>
      </c>
      <c r="S43" s="2">
        <v>20.8</v>
      </c>
      <c r="T43" s="2">
        <v>120</v>
      </c>
      <c r="U43" s="16">
        <v>30</v>
      </c>
    </row>
    <row r="44" spans="1:21" x14ac:dyDescent="0.35">
      <c r="A44" s="15" t="s">
        <v>684</v>
      </c>
      <c r="B44" s="2" t="s">
        <v>15</v>
      </c>
      <c r="C44" s="2" t="s">
        <v>16</v>
      </c>
      <c r="D44" s="2" t="s">
        <v>685</v>
      </c>
      <c r="E44" s="2">
        <v>9.0580400000000001</v>
      </c>
      <c r="F44" s="2">
        <v>7.4890600000000003</v>
      </c>
      <c r="G44" s="2" t="s">
        <v>688</v>
      </c>
      <c r="H44" s="2">
        <v>2024</v>
      </c>
      <c r="I44" s="2">
        <v>33.241659055274901</v>
      </c>
      <c r="J44" s="2">
        <v>40.799999999999997</v>
      </c>
      <c r="K44" s="2" t="b">
        <v>1</v>
      </c>
      <c r="L44" s="2" t="b">
        <v>1</v>
      </c>
      <c r="M44" s="2">
        <v>9.5</v>
      </c>
      <c r="N44" s="2">
        <v>39.200000000000003</v>
      </c>
      <c r="O44" s="2">
        <v>39.5</v>
      </c>
      <c r="P44" s="2">
        <v>52.5</v>
      </c>
      <c r="Q44" s="2">
        <v>1.05</v>
      </c>
      <c r="R44" s="2">
        <v>1.32</v>
      </c>
      <c r="S44" s="2">
        <v>16.2</v>
      </c>
      <c r="T44" s="2">
        <v>180</v>
      </c>
      <c r="U44" s="16">
        <v>40</v>
      </c>
    </row>
    <row r="45" spans="1:21" x14ac:dyDescent="0.35">
      <c r="A45" s="15" t="s">
        <v>92</v>
      </c>
      <c r="B45" s="2" t="s">
        <v>93</v>
      </c>
      <c r="C45" s="2" t="s">
        <v>16</v>
      </c>
      <c r="D45" s="2" t="s">
        <v>94</v>
      </c>
      <c r="E45" s="2">
        <v>23.705500000000001</v>
      </c>
      <c r="F45" s="2">
        <v>90.411299999999997</v>
      </c>
      <c r="G45" s="2" t="s">
        <v>97</v>
      </c>
      <c r="H45" s="2">
        <v>2024</v>
      </c>
      <c r="I45" s="2">
        <v>10.4657482763412</v>
      </c>
      <c r="J45" s="2">
        <v>39.5</v>
      </c>
      <c r="K45" s="2" t="b">
        <v>1</v>
      </c>
      <c r="L45" s="2" t="b">
        <v>1</v>
      </c>
      <c r="M45" s="2">
        <v>8.8000000000000007</v>
      </c>
      <c r="N45" s="2">
        <v>38.1</v>
      </c>
      <c r="O45" s="2">
        <v>38.200000000000003</v>
      </c>
      <c r="P45" s="2">
        <v>50.8</v>
      </c>
      <c r="Q45" s="2">
        <v>0.95</v>
      </c>
      <c r="R45" s="2">
        <v>1.18</v>
      </c>
      <c r="S45" s="2">
        <v>14.5</v>
      </c>
      <c r="T45" s="2">
        <v>100</v>
      </c>
      <c r="U45" s="16">
        <v>25</v>
      </c>
    </row>
    <row r="46" spans="1:21" x14ac:dyDescent="0.35">
      <c r="A46" s="15" t="s">
        <v>7</v>
      </c>
      <c r="B46" s="2" t="s">
        <v>8</v>
      </c>
      <c r="C46" s="2" t="s">
        <v>9</v>
      </c>
      <c r="D46" s="2" t="s">
        <v>10</v>
      </c>
      <c r="E46" s="2">
        <v>34.522799999999997</v>
      </c>
      <c r="F46" s="2">
        <v>69.176100000000005</v>
      </c>
      <c r="G46" s="2" t="s">
        <v>13</v>
      </c>
      <c r="H46" s="2">
        <v>2024</v>
      </c>
      <c r="I46" s="2">
        <v>-6.6011856407372598</v>
      </c>
      <c r="J46" s="2">
        <v>38.200000000000003</v>
      </c>
      <c r="K46" s="2" t="b">
        <v>1</v>
      </c>
      <c r="L46" s="2" t="b">
        <v>1</v>
      </c>
      <c r="M46" s="2">
        <v>8.1999999999999993</v>
      </c>
      <c r="N46" s="2">
        <v>36.799999999999997</v>
      </c>
      <c r="O46" s="2">
        <v>36.9</v>
      </c>
      <c r="P46" s="2">
        <v>48.5</v>
      </c>
      <c r="Q46" s="2">
        <v>0.88</v>
      </c>
      <c r="R46" s="2">
        <v>1.05</v>
      </c>
      <c r="S46" s="2">
        <v>12.8</v>
      </c>
      <c r="T46" s="2">
        <v>85</v>
      </c>
      <c r="U46" s="16">
        <v>20</v>
      </c>
    </row>
    <row r="47" spans="1:21" x14ac:dyDescent="0.35">
      <c r="A47" s="15" t="s">
        <v>37</v>
      </c>
      <c r="B47" s="2" t="s">
        <v>2</v>
      </c>
      <c r="C47" s="2" t="s">
        <v>23</v>
      </c>
      <c r="D47" s="2" t="s">
        <v>38</v>
      </c>
      <c r="E47" s="2">
        <v>-34.611800000000002</v>
      </c>
      <c r="F47" s="2">
        <v>-58.417299999999997</v>
      </c>
      <c r="G47" s="2" t="s">
        <v>41</v>
      </c>
      <c r="H47" s="2">
        <v>2024</v>
      </c>
      <c r="I47" s="2">
        <v>219.883929014578</v>
      </c>
      <c r="J47" s="2">
        <v>0</v>
      </c>
      <c r="K47" s="2" t="b">
        <v>1</v>
      </c>
      <c r="L47" s="2" t="b">
        <v>1</v>
      </c>
      <c r="M47" s="2"/>
      <c r="N47" s="2"/>
      <c r="O47" s="2"/>
      <c r="P47" s="2"/>
      <c r="Q47" s="2"/>
      <c r="R47" s="2"/>
      <c r="S47" s="2"/>
      <c r="T47" s="2"/>
      <c r="U47" s="16"/>
    </row>
    <row r="48" spans="1:21" x14ac:dyDescent="0.35">
      <c r="A48" s="15" t="s">
        <v>807</v>
      </c>
      <c r="B48" s="2" t="s">
        <v>15</v>
      </c>
      <c r="C48" s="2" t="s">
        <v>9</v>
      </c>
      <c r="D48" s="2" t="s">
        <v>808</v>
      </c>
      <c r="E48" s="2">
        <v>15.5932</v>
      </c>
      <c r="F48" s="2">
        <v>32.536299999999997</v>
      </c>
      <c r="G48" s="2" t="s">
        <v>811</v>
      </c>
      <c r="H48" s="2">
        <v>2022</v>
      </c>
      <c r="I48" s="2">
        <v>138.80846024176</v>
      </c>
      <c r="J48" s="2">
        <v>0</v>
      </c>
      <c r="K48" s="2" t="b">
        <v>1</v>
      </c>
      <c r="L48" s="2" t="b">
        <v>1</v>
      </c>
      <c r="M48" s="2"/>
      <c r="N48" s="2"/>
      <c r="O48" s="2"/>
      <c r="P48" s="2"/>
      <c r="Q48" s="2"/>
      <c r="R48" s="2"/>
      <c r="S48" s="2"/>
      <c r="T48" s="2"/>
      <c r="U48" s="16"/>
    </row>
    <row r="49" spans="1:21" x14ac:dyDescent="0.35">
      <c r="A49" s="15" t="s">
        <v>1031</v>
      </c>
      <c r="B49" s="2" t="s">
        <v>15</v>
      </c>
      <c r="C49" s="2" t="s">
        <v>16</v>
      </c>
      <c r="D49" s="2" t="s">
        <v>1032</v>
      </c>
      <c r="E49" s="2">
        <v>-17.831199999999999</v>
      </c>
      <c r="F49" s="2">
        <v>31.0672</v>
      </c>
      <c r="G49" s="2" t="s">
        <v>1035</v>
      </c>
      <c r="H49" s="2">
        <v>2022</v>
      </c>
      <c r="I49" s="2">
        <v>104.70517062866701</v>
      </c>
      <c r="J49" s="2">
        <v>0</v>
      </c>
      <c r="K49" s="2" t="b">
        <v>1</v>
      </c>
      <c r="L49" s="2" t="b">
        <v>1</v>
      </c>
      <c r="M49" s="2"/>
      <c r="N49" s="2"/>
      <c r="O49" s="2"/>
      <c r="P49" s="2"/>
      <c r="Q49" s="2"/>
      <c r="R49" s="2"/>
      <c r="S49" s="2"/>
      <c r="T49" s="2"/>
      <c r="U49" s="16"/>
    </row>
    <row r="50" spans="1:21" x14ac:dyDescent="0.35">
      <c r="A50" s="15" t="s">
        <v>849</v>
      </c>
      <c r="B50" s="2" t="s">
        <v>15</v>
      </c>
      <c r="C50" s="2" t="s">
        <v>9</v>
      </c>
      <c r="D50" s="2" t="s">
        <v>850</v>
      </c>
      <c r="E50" s="2">
        <v>4.8499999999999996</v>
      </c>
      <c r="F50" s="2">
        <v>31.6</v>
      </c>
      <c r="G50" s="2" t="s">
        <v>853</v>
      </c>
      <c r="H50" s="2">
        <v>2024</v>
      </c>
      <c r="I50" s="2">
        <v>91.440822076904595</v>
      </c>
      <c r="J50" s="2">
        <v>0</v>
      </c>
      <c r="K50" s="2" t="b">
        <v>1</v>
      </c>
      <c r="L50" s="2" t="b">
        <v>1</v>
      </c>
      <c r="M50" s="2"/>
      <c r="N50" s="2"/>
      <c r="O50" s="2"/>
      <c r="P50" s="2"/>
      <c r="Q50" s="2"/>
      <c r="R50" s="2"/>
      <c r="S50" s="2"/>
      <c r="T50" s="2"/>
      <c r="U50" s="16"/>
    </row>
    <row r="51" spans="1:21" x14ac:dyDescent="0.35">
      <c r="A51" s="15" t="s">
        <v>941</v>
      </c>
      <c r="B51" s="2" t="s">
        <v>22</v>
      </c>
      <c r="C51" s="2" t="s">
        <v>23</v>
      </c>
      <c r="D51" s="2" t="s">
        <v>942</v>
      </c>
      <c r="E51" s="2">
        <v>39.715299999999999</v>
      </c>
      <c r="F51" s="2">
        <v>32.360599999999998</v>
      </c>
      <c r="G51" s="2" t="s">
        <v>945</v>
      </c>
      <c r="H51" s="2">
        <v>2024</v>
      </c>
      <c r="I51" s="2">
        <v>58.506450730034203</v>
      </c>
      <c r="J51" s="2">
        <v>0</v>
      </c>
      <c r="K51" s="2" t="b">
        <v>1</v>
      </c>
      <c r="L51" s="2" t="b">
        <v>1</v>
      </c>
      <c r="M51" s="2"/>
      <c r="N51" s="2"/>
      <c r="O51" s="2"/>
      <c r="P51" s="2"/>
      <c r="Q51" s="2"/>
      <c r="R51" s="2"/>
      <c r="S51" s="2"/>
      <c r="T51" s="2"/>
      <c r="U51" s="16"/>
    </row>
    <row r="52" spans="1:21" x14ac:dyDescent="0.35">
      <c r="A52" s="15" t="s">
        <v>776</v>
      </c>
      <c r="B52" s="2" t="s">
        <v>8</v>
      </c>
      <c r="C52" s="2" t="s">
        <v>16</v>
      </c>
      <c r="D52" s="2"/>
      <c r="E52" s="2"/>
      <c r="F52" s="2"/>
      <c r="G52" s="2" t="s">
        <v>777</v>
      </c>
      <c r="H52" s="2">
        <v>2024</v>
      </c>
      <c r="I52" s="2">
        <v>53.669145830378199</v>
      </c>
      <c r="J52" s="2">
        <v>0</v>
      </c>
      <c r="K52" s="2" t="b">
        <v>1</v>
      </c>
      <c r="L52" s="2" t="b">
        <v>1</v>
      </c>
      <c r="M52" s="2"/>
      <c r="N52" s="2"/>
      <c r="O52" s="2"/>
      <c r="P52" s="2"/>
      <c r="Q52" s="2"/>
      <c r="R52" s="2"/>
      <c r="S52" s="2"/>
      <c r="T52" s="2"/>
      <c r="U52" s="16"/>
    </row>
    <row r="53" spans="1:21" x14ac:dyDescent="0.35">
      <c r="A53" s="15" t="s">
        <v>526</v>
      </c>
      <c r="B53" s="2" t="s">
        <v>8</v>
      </c>
      <c r="C53" s="2" t="s">
        <v>16</v>
      </c>
      <c r="D53" s="2" t="s">
        <v>527</v>
      </c>
      <c r="E53" s="2">
        <v>33.8872</v>
      </c>
      <c r="F53" s="2">
        <v>35.513399999999997</v>
      </c>
      <c r="G53" s="2" t="s">
        <v>530</v>
      </c>
      <c r="H53" s="2">
        <v>2024</v>
      </c>
      <c r="I53" s="2">
        <v>45.243042271671797</v>
      </c>
      <c r="J53" s="2">
        <v>0</v>
      </c>
      <c r="K53" s="2" t="b">
        <v>1</v>
      </c>
      <c r="L53" s="2" t="b">
        <v>1</v>
      </c>
      <c r="M53" s="2"/>
      <c r="N53" s="2"/>
      <c r="O53" s="2"/>
      <c r="P53" s="2"/>
      <c r="Q53" s="2"/>
      <c r="R53" s="2"/>
      <c r="S53" s="2"/>
      <c r="T53" s="2"/>
      <c r="U53" s="16"/>
    </row>
    <row r="54" spans="1:21" x14ac:dyDescent="0.35">
      <c r="A54" s="15" t="s">
        <v>442</v>
      </c>
      <c r="B54" s="2" t="s">
        <v>8</v>
      </c>
      <c r="C54" s="2" t="s">
        <v>23</v>
      </c>
      <c r="D54" s="2" t="s">
        <v>443</v>
      </c>
      <c r="E54" s="2">
        <v>35.687800000000003</v>
      </c>
      <c r="F54" s="2">
        <v>51.444699999999997</v>
      </c>
      <c r="G54" s="2" t="s">
        <v>446</v>
      </c>
      <c r="H54" s="2">
        <v>2024</v>
      </c>
      <c r="I54" s="2">
        <v>32.455871402916998</v>
      </c>
      <c r="J54" s="2">
        <v>0</v>
      </c>
      <c r="K54" s="2" t="b">
        <v>1</v>
      </c>
      <c r="L54" s="2" t="b">
        <v>1</v>
      </c>
      <c r="M54" s="2"/>
      <c r="N54" s="2"/>
      <c r="O54" s="2"/>
      <c r="P54" s="2"/>
      <c r="Q54" s="2"/>
      <c r="R54" s="2"/>
      <c r="S54" s="2"/>
      <c r="T54" s="2"/>
      <c r="U54" s="16"/>
    </row>
    <row r="55" spans="1:21" x14ac:dyDescent="0.35">
      <c r="A55" s="15" t="s">
        <v>660</v>
      </c>
      <c r="B55" s="2" t="s">
        <v>15</v>
      </c>
      <c r="C55" s="2" t="s">
        <v>9</v>
      </c>
      <c r="D55" s="2" t="s">
        <v>661</v>
      </c>
      <c r="E55" s="2">
        <v>-13.9899</v>
      </c>
      <c r="F55" s="2">
        <v>33.770299999999999</v>
      </c>
      <c r="G55" s="2" t="s">
        <v>664</v>
      </c>
      <c r="H55" s="2">
        <v>2024</v>
      </c>
      <c r="I55" s="2">
        <v>32.179650422502498</v>
      </c>
      <c r="J55" s="2">
        <v>0</v>
      </c>
      <c r="K55" s="2" t="b">
        <v>1</v>
      </c>
      <c r="L55" s="2" t="b">
        <v>1</v>
      </c>
      <c r="M55" s="2"/>
      <c r="N55" s="2"/>
      <c r="O55" s="2"/>
      <c r="P55" s="2"/>
      <c r="Q55" s="2"/>
      <c r="R55" s="2"/>
      <c r="S55" s="2"/>
      <c r="T55" s="2"/>
      <c r="U55" s="16"/>
    </row>
    <row r="56" spans="1:21" x14ac:dyDescent="0.35">
      <c r="A56" s="15" t="s">
        <v>826</v>
      </c>
      <c r="B56" s="2" t="s">
        <v>15</v>
      </c>
      <c r="C56" s="2" t="s">
        <v>9</v>
      </c>
      <c r="D56" s="2" t="s">
        <v>827</v>
      </c>
      <c r="E56" s="2">
        <v>8.4821000000000009</v>
      </c>
      <c r="F56" s="2">
        <v>-13.2134</v>
      </c>
      <c r="G56" s="2" t="s">
        <v>830</v>
      </c>
      <c r="H56" s="2">
        <v>2024</v>
      </c>
      <c r="I56" s="2">
        <v>28.633750001411499</v>
      </c>
      <c r="J56" s="2">
        <v>0</v>
      </c>
      <c r="K56" s="2" t="b">
        <v>1</v>
      </c>
      <c r="L56" s="2" t="b">
        <v>1</v>
      </c>
      <c r="M56" s="2"/>
      <c r="N56" s="2"/>
      <c r="O56" s="2"/>
      <c r="P56" s="2"/>
      <c r="Q56" s="2"/>
      <c r="R56" s="2"/>
      <c r="S56" s="2"/>
      <c r="T56" s="2"/>
      <c r="U56" s="16"/>
    </row>
    <row r="57" spans="1:21" x14ac:dyDescent="0.35">
      <c r="A57" s="15" t="s">
        <v>282</v>
      </c>
      <c r="B57" s="2" t="s">
        <v>8</v>
      </c>
      <c r="C57" s="2" t="s">
        <v>16</v>
      </c>
      <c r="D57" s="2" t="s">
        <v>283</v>
      </c>
      <c r="E57" s="2">
        <v>30.098199999999999</v>
      </c>
      <c r="F57" s="2">
        <v>31.246099999999998</v>
      </c>
      <c r="G57" s="2" t="s">
        <v>286</v>
      </c>
      <c r="H57" s="2">
        <v>2024</v>
      </c>
      <c r="I57" s="2">
        <v>28.270589932208299</v>
      </c>
      <c r="J57" s="2">
        <v>0</v>
      </c>
      <c r="K57" s="2" t="b">
        <v>1</v>
      </c>
      <c r="L57" s="2" t="b">
        <v>1</v>
      </c>
      <c r="M57" s="2"/>
      <c r="N57" s="2"/>
      <c r="O57" s="2"/>
      <c r="P57" s="2"/>
      <c r="Q57" s="2"/>
      <c r="R57" s="2"/>
      <c r="S57" s="2"/>
      <c r="T57" s="2"/>
      <c r="U57" s="16"/>
    </row>
    <row r="58" spans="1:21" x14ac:dyDescent="0.35">
      <c r="A58" s="15" t="s">
        <v>14</v>
      </c>
      <c r="B58" s="2" t="s">
        <v>15</v>
      </c>
      <c r="C58" s="2" t="s">
        <v>16</v>
      </c>
      <c r="D58" s="2" t="s">
        <v>17</v>
      </c>
      <c r="E58" s="2">
        <v>-8.8115500000000004</v>
      </c>
      <c r="F58" s="2">
        <v>13.242000000000001</v>
      </c>
      <c r="G58" s="2" t="s">
        <v>20</v>
      </c>
      <c r="H58" s="2">
        <v>2024</v>
      </c>
      <c r="I58" s="2">
        <v>28.2404948915772</v>
      </c>
      <c r="J58" s="2">
        <v>0</v>
      </c>
      <c r="K58" s="2" t="b">
        <v>1</v>
      </c>
      <c r="L58" s="2" t="b">
        <v>1</v>
      </c>
      <c r="M58" s="2"/>
      <c r="N58" s="2"/>
      <c r="O58" s="2"/>
      <c r="P58" s="2"/>
      <c r="Q58" s="2"/>
      <c r="R58" s="2"/>
      <c r="S58" s="2"/>
      <c r="T58" s="2"/>
      <c r="U58" s="16"/>
    </row>
    <row r="59" spans="1:21" x14ac:dyDescent="0.35">
      <c r="A59" s="15" t="s">
        <v>413</v>
      </c>
      <c r="B59" s="2" t="s">
        <v>2</v>
      </c>
      <c r="C59" s="2" t="s">
        <v>16</v>
      </c>
      <c r="D59" s="2" t="s">
        <v>414</v>
      </c>
      <c r="E59" s="2">
        <v>18.539200000000001</v>
      </c>
      <c r="F59" s="2">
        <v>-72.328800000000001</v>
      </c>
      <c r="G59" s="2" t="s">
        <v>417</v>
      </c>
      <c r="H59" s="2">
        <v>2024</v>
      </c>
      <c r="I59" s="2">
        <v>26.9490564091987</v>
      </c>
      <c r="J59" s="2">
        <v>0</v>
      </c>
      <c r="K59" s="2" t="b">
        <v>1</v>
      </c>
      <c r="L59" s="2" t="b">
        <v>1</v>
      </c>
      <c r="M59" s="2"/>
      <c r="N59" s="2"/>
      <c r="O59" s="2"/>
      <c r="P59" s="2"/>
      <c r="Q59" s="2"/>
      <c r="R59" s="2"/>
      <c r="S59" s="2"/>
      <c r="T59" s="2"/>
      <c r="U59" s="16"/>
    </row>
    <row r="60" spans="1:21" x14ac:dyDescent="0.35">
      <c r="A60" s="15" t="s">
        <v>521</v>
      </c>
      <c r="B60" s="2" t="s">
        <v>48</v>
      </c>
      <c r="C60" s="2" t="s">
        <v>16</v>
      </c>
      <c r="D60" s="2" t="s">
        <v>522</v>
      </c>
      <c r="E60" s="2">
        <v>18.582599999999999</v>
      </c>
      <c r="F60" s="2">
        <v>102.17700000000001</v>
      </c>
      <c r="G60" s="2" t="s">
        <v>525</v>
      </c>
      <c r="H60" s="2">
        <v>2024</v>
      </c>
      <c r="I60" s="2">
        <v>23.130569594258802</v>
      </c>
      <c r="J60" s="2">
        <v>0</v>
      </c>
      <c r="K60" s="2" t="b">
        <v>1</v>
      </c>
      <c r="L60" s="2" t="b">
        <v>1</v>
      </c>
      <c r="M60" s="2"/>
      <c r="N60" s="2"/>
      <c r="O60" s="2"/>
      <c r="P60" s="2"/>
      <c r="Q60" s="2"/>
      <c r="R60" s="2"/>
      <c r="S60" s="2"/>
      <c r="T60" s="2"/>
      <c r="U60" s="16"/>
    </row>
    <row r="61" spans="1:21" x14ac:dyDescent="0.35">
      <c r="A61" s="15" t="s">
        <v>345</v>
      </c>
      <c r="B61" s="2" t="s">
        <v>15</v>
      </c>
      <c r="C61" s="2" t="s">
        <v>16</v>
      </c>
      <c r="D61" s="2" t="s">
        <v>346</v>
      </c>
      <c r="E61" s="2">
        <v>5.5704500000000001</v>
      </c>
      <c r="F61" s="2">
        <v>-0.20795</v>
      </c>
      <c r="G61" s="2" t="s">
        <v>349</v>
      </c>
      <c r="H61" s="2">
        <v>2024</v>
      </c>
      <c r="I61" s="2">
        <v>22.848328115784199</v>
      </c>
      <c r="J61" s="2">
        <v>0</v>
      </c>
      <c r="K61" s="2" t="b">
        <v>1</v>
      </c>
      <c r="L61" s="2" t="b">
        <v>1</v>
      </c>
      <c r="M61" s="2"/>
      <c r="N61" s="2"/>
      <c r="O61" s="2"/>
      <c r="P61" s="2"/>
      <c r="Q61" s="2"/>
      <c r="R61" s="2"/>
      <c r="S61" s="2"/>
      <c r="T61" s="2"/>
      <c r="U61" s="16"/>
    </row>
    <row r="62" spans="1:21" x14ac:dyDescent="0.35">
      <c r="A62" s="15" t="s">
        <v>301</v>
      </c>
      <c r="B62" s="2" t="s">
        <v>15</v>
      </c>
      <c r="C62" s="2" t="s">
        <v>9</v>
      </c>
      <c r="D62" s="2" t="s">
        <v>302</v>
      </c>
      <c r="E62" s="2">
        <v>9.0227400000000006</v>
      </c>
      <c r="F62" s="2">
        <v>38.7468</v>
      </c>
      <c r="G62" s="2" t="s">
        <v>305</v>
      </c>
      <c r="H62" s="2">
        <v>2024</v>
      </c>
      <c r="I62" s="2">
        <v>21.037746057771098</v>
      </c>
      <c r="J62" s="2">
        <v>0</v>
      </c>
      <c r="K62" s="2" t="b">
        <v>1</v>
      </c>
      <c r="L62" s="2" t="b">
        <v>1</v>
      </c>
      <c r="M62" s="2"/>
      <c r="N62" s="2"/>
      <c r="O62" s="2"/>
      <c r="P62" s="2"/>
      <c r="Q62" s="2"/>
      <c r="R62" s="2"/>
      <c r="S62" s="2"/>
      <c r="T62" s="2"/>
      <c r="U62" s="16"/>
    </row>
    <row r="63" spans="1:21" x14ac:dyDescent="0.35">
      <c r="A63" s="15" t="s">
        <v>72</v>
      </c>
      <c r="B63" s="2" t="s">
        <v>15</v>
      </c>
      <c r="C63" s="2" t="s">
        <v>9</v>
      </c>
      <c r="D63" s="2" t="s">
        <v>73</v>
      </c>
      <c r="E63" s="2">
        <v>-3.3784000000000001</v>
      </c>
      <c r="F63" s="2">
        <v>29.363900000000001</v>
      </c>
      <c r="G63" s="2" t="s">
        <v>76</v>
      </c>
      <c r="H63" s="2">
        <v>2024</v>
      </c>
      <c r="I63" s="2">
        <v>20.212492502784698</v>
      </c>
      <c r="J63" s="2">
        <v>0</v>
      </c>
      <c r="K63" s="2" t="b">
        <v>1</v>
      </c>
      <c r="L63" s="2" t="b">
        <v>1</v>
      </c>
      <c r="M63" s="2"/>
      <c r="N63" s="2"/>
      <c r="O63" s="2"/>
      <c r="P63" s="2"/>
      <c r="Q63" s="2"/>
      <c r="R63" s="2"/>
      <c r="S63" s="2"/>
      <c r="T63" s="2"/>
      <c r="U63" s="16"/>
    </row>
    <row r="64" spans="1:21" x14ac:dyDescent="0.35">
      <c r="A64" s="15" t="s">
        <v>859</v>
      </c>
      <c r="B64" s="2" t="s">
        <v>2</v>
      </c>
      <c r="C64" s="2" t="s">
        <v>23</v>
      </c>
      <c r="D64" s="2" t="s">
        <v>860</v>
      </c>
      <c r="E64" s="2">
        <v>5.8231999999999999</v>
      </c>
      <c r="F64" s="2">
        <v>-55.167900000000003</v>
      </c>
      <c r="G64" s="2" t="s">
        <v>863</v>
      </c>
      <c r="H64" s="2">
        <v>2024</v>
      </c>
      <c r="I64" s="2">
        <v>16.229615913027899</v>
      </c>
      <c r="J64" s="2">
        <v>0</v>
      </c>
      <c r="K64" s="2" t="b">
        <v>1</v>
      </c>
      <c r="L64" s="2" t="b">
        <v>1</v>
      </c>
      <c r="M64" s="2"/>
      <c r="N64" s="2"/>
      <c r="O64" s="2"/>
      <c r="P64" s="2"/>
      <c r="Q64" s="2"/>
      <c r="R64" s="2"/>
      <c r="S64" s="2"/>
      <c r="T64" s="2"/>
      <c r="U64" s="16"/>
    </row>
    <row r="65" spans="1:21" x14ac:dyDescent="0.35">
      <c r="A65" s="15" t="s">
        <v>1026</v>
      </c>
      <c r="B65" s="2" t="s">
        <v>15</v>
      </c>
      <c r="C65" s="2" t="s">
        <v>16</v>
      </c>
      <c r="D65" s="2" t="s">
        <v>1027</v>
      </c>
      <c r="E65" s="2">
        <v>-15.398199999999999</v>
      </c>
      <c r="F65" s="2">
        <v>28.293700000000001</v>
      </c>
      <c r="G65" s="2" t="s">
        <v>1030</v>
      </c>
      <c r="H65" s="2">
        <v>2024</v>
      </c>
      <c r="I65" s="2">
        <v>14.9856262747939</v>
      </c>
      <c r="J65" s="2">
        <v>0</v>
      </c>
      <c r="K65" s="2" t="b">
        <v>1</v>
      </c>
      <c r="L65" s="2" t="b">
        <v>1</v>
      </c>
      <c r="M65" s="2"/>
      <c r="N65" s="2"/>
      <c r="O65" s="2"/>
      <c r="P65" s="2"/>
      <c r="Q65" s="2"/>
      <c r="R65" s="2"/>
      <c r="S65" s="2"/>
      <c r="T65" s="2"/>
      <c r="U65" s="16"/>
    </row>
    <row r="66" spans="1:21" x14ac:dyDescent="0.35">
      <c r="A66" s="15" t="s">
        <v>854</v>
      </c>
      <c r="B66" s="2" t="s">
        <v>15</v>
      </c>
      <c r="C66" s="2" t="s">
        <v>16</v>
      </c>
      <c r="D66" s="2" t="s">
        <v>855</v>
      </c>
      <c r="E66" s="2">
        <v>0.20618</v>
      </c>
      <c r="F66" s="2">
        <v>6.6071</v>
      </c>
      <c r="G66" s="2" t="s">
        <v>858</v>
      </c>
      <c r="H66" s="2">
        <v>2024</v>
      </c>
      <c r="I66" s="2">
        <v>14.3519273571008</v>
      </c>
      <c r="J66" s="2">
        <v>0</v>
      </c>
      <c r="K66" s="2" t="b">
        <v>1</v>
      </c>
      <c r="L66" s="2" t="b">
        <v>1</v>
      </c>
      <c r="M66" s="2"/>
      <c r="N66" s="2"/>
      <c r="O66" s="2"/>
      <c r="P66" s="2"/>
      <c r="Q66" s="2"/>
      <c r="R66" s="2"/>
      <c r="S66" s="2"/>
      <c r="T66" s="2"/>
      <c r="U66" s="16"/>
    </row>
    <row r="67" spans="1:21" x14ac:dyDescent="0.35">
      <c r="A67" s="15" t="s">
        <v>356</v>
      </c>
      <c r="B67" s="2" t="s">
        <v>15</v>
      </c>
      <c r="C67" s="2" t="s">
        <v>9</v>
      </c>
      <c r="D67" s="2" t="s">
        <v>357</v>
      </c>
      <c r="E67" s="2">
        <v>13.4495</v>
      </c>
      <c r="F67" s="2">
        <v>-16.5885</v>
      </c>
      <c r="G67" s="2" t="s">
        <v>360</v>
      </c>
      <c r="H67" s="2">
        <v>2024</v>
      </c>
      <c r="I67" s="2">
        <v>11.561053289751101</v>
      </c>
      <c r="J67" s="2">
        <v>0</v>
      </c>
      <c r="K67" s="2" t="b">
        <v>1</v>
      </c>
      <c r="L67" s="2" t="b">
        <v>1</v>
      </c>
      <c r="M67" s="2"/>
      <c r="N67" s="2"/>
      <c r="O67" s="2"/>
      <c r="P67" s="2"/>
      <c r="Q67" s="2"/>
      <c r="R67" s="2"/>
      <c r="S67" s="2"/>
      <c r="T67" s="2"/>
      <c r="U67" s="16"/>
    </row>
    <row r="68" spans="1:21" x14ac:dyDescent="0.35">
      <c r="A68" s="15" t="s">
        <v>975</v>
      </c>
      <c r="B68" s="2" t="s">
        <v>22</v>
      </c>
      <c r="C68" s="2" t="s">
        <v>16</v>
      </c>
      <c r="D68" s="2" t="s">
        <v>976</v>
      </c>
      <c r="E68" s="2">
        <v>41.305199999999999</v>
      </c>
      <c r="F68" s="2">
        <v>69.269000000000005</v>
      </c>
      <c r="G68" s="2" t="s">
        <v>979</v>
      </c>
      <c r="H68" s="2">
        <v>2024</v>
      </c>
      <c r="I68" s="2">
        <v>9.6282546595668208</v>
      </c>
      <c r="J68" s="2">
        <v>0</v>
      </c>
      <c r="K68" s="2" t="b">
        <v>1</v>
      </c>
      <c r="L68" s="2" t="b">
        <v>1</v>
      </c>
      <c r="M68" s="2"/>
      <c r="N68" s="2"/>
      <c r="O68" s="2"/>
      <c r="P68" s="2"/>
      <c r="Q68" s="2">
        <v>0.4</v>
      </c>
      <c r="R68" s="2"/>
      <c r="S68" s="2"/>
      <c r="T68" s="2"/>
      <c r="U68" s="16"/>
    </row>
    <row r="69" spans="1:21" x14ac:dyDescent="0.35">
      <c r="A69" s="15" t="s">
        <v>679</v>
      </c>
      <c r="B69" s="2" t="s">
        <v>15</v>
      </c>
      <c r="C69" s="2" t="s">
        <v>9</v>
      </c>
      <c r="D69" s="2" t="s">
        <v>680</v>
      </c>
      <c r="E69" s="2">
        <v>13.513999999999999</v>
      </c>
      <c r="F69" s="2">
        <v>2.1073</v>
      </c>
      <c r="G69" s="2" t="s">
        <v>683</v>
      </c>
      <c r="H69" s="2">
        <v>2024</v>
      </c>
      <c r="I69" s="2">
        <v>9.07151997725013</v>
      </c>
      <c r="J69" s="2">
        <v>0</v>
      </c>
      <c r="K69" s="2" t="b">
        <v>1</v>
      </c>
      <c r="L69" s="2" t="b">
        <v>1</v>
      </c>
      <c r="M69" s="2"/>
      <c r="N69" s="2"/>
      <c r="O69" s="2"/>
      <c r="P69" s="2"/>
      <c r="Q69" s="2"/>
      <c r="R69" s="2"/>
      <c r="S69" s="2"/>
      <c r="T69" s="2"/>
      <c r="U69" s="16"/>
    </row>
    <row r="70" spans="1:21" x14ac:dyDescent="0.35">
      <c r="A70" s="15" t="s">
        <v>898</v>
      </c>
      <c r="B70" s="2" t="s">
        <v>15</v>
      </c>
      <c r="C70" s="2" t="s">
        <v>9</v>
      </c>
      <c r="D70" s="2" t="s">
        <v>899</v>
      </c>
      <c r="E70" s="2">
        <v>12.104799999999999</v>
      </c>
      <c r="F70" s="2">
        <v>15.044499999999999</v>
      </c>
      <c r="G70" s="2" t="s">
        <v>902</v>
      </c>
      <c r="H70" s="2">
        <v>2024</v>
      </c>
      <c r="I70" s="2">
        <v>8.8995073226375396</v>
      </c>
      <c r="J70" s="2">
        <v>0</v>
      </c>
      <c r="K70" s="2" t="b">
        <v>1</v>
      </c>
      <c r="L70" s="2" t="b">
        <v>1</v>
      </c>
      <c r="M70" s="2"/>
      <c r="N70" s="2"/>
      <c r="O70" s="2"/>
      <c r="P70" s="2"/>
      <c r="Q70" s="2">
        <v>0.36</v>
      </c>
      <c r="R70" s="2"/>
      <c r="S70" s="2"/>
      <c r="T70" s="2"/>
      <c r="U70" s="16"/>
    </row>
    <row r="71" spans="1:21" x14ac:dyDescent="0.35">
      <c r="A71" s="15" t="s">
        <v>481</v>
      </c>
      <c r="B71" s="2" t="s">
        <v>22</v>
      </c>
      <c r="C71" s="2" t="s">
        <v>23</v>
      </c>
      <c r="D71" s="2" t="s">
        <v>482</v>
      </c>
      <c r="E71" s="2">
        <v>51.187899999999999</v>
      </c>
      <c r="F71" s="2">
        <v>71.438199999999995</v>
      </c>
      <c r="G71" s="2" t="s">
        <v>485</v>
      </c>
      <c r="H71" s="2">
        <v>2024</v>
      </c>
      <c r="I71" s="2">
        <v>8.69082156104494</v>
      </c>
      <c r="J71" s="2">
        <v>0</v>
      </c>
      <c r="K71" s="2" t="b">
        <v>1</v>
      </c>
      <c r="L71" s="2" t="b">
        <v>1</v>
      </c>
      <c r="M71" s="2"/>
      <c r="N71" s="2"/>
      <c r="O71" s="2"/>
      <c r="P71" s="2"/>
      <c r="Q71" s="2">
        <v>0.44</v>
      </c>
      <c r="R71" s="2"/>
      <c r="S71" s="2"/>
      <c r="T71" s="2"/>
      <c r="U71" s="16"/>
    </row>
    <row r="72" spans="1:21" x14ac:dyDescent="0.35">
      <c r="A72" s="15" t="s">
        <v>792</v>
      </c>
      <c r="B72" s="2" t="s">
        <v>22</v>
      </c>
      <c r="C72" s="2" t="s">
        <v>3</v>
      </c>
      <c r="D72" s="2" t="s">
        <v>793</v>
      </c>
      <c r="E72" s="2">
        <v>55.755800000000001</v>
      </c>
      <c r="F72" s="2">
        <v>37.617600000000003</v>
      </c>
      <c r="G72" s="2" t="s">
        <v>796</v>
      </c>
      <c r="H72" s="2">
        <v>2024</v>
      </c>
      <c r="I72" s="2">
        <v>8.4348641049672306</v>
      </c>
      <c r="J72" s="2">
        <v>0</v>
      </c>
      <c r="K72" s="2" t="b">
        <v>1</v>
      </c>
      <c r="L72" s="2" t="b">
        <v>1</v>
      </c>
      <c r="M72" s="2"/>
      <c r="N72" s="2"/>
      <c r="O72" s="2"/>
      <c r="P72" s="2"/>
      <c r="Q72" s="2"/>
      <c r="R72" s="2"/>
      <c r="S72" s="2"/>
      <c r="T72" s="2"/>
      <c r="U72" s="16"/>
    </row>
    <row r="73" spans="1:21" x14ac:dyDescent="0.35">
      <c r="A73" s="15" t="s">
        <v>531</v>
      </c>
      <c r="B73" s="2" t="s">
        <v>15</v>
      </c>
      <c r="C73" s="2" t="s">
        <v>9</v>
      </c>
      <c r="D73" s="2" t="s">
        <v>532</v>
      </c>
      <c r="E73" s="2">
        <v>6.3003900000000002</v>
      </c>
      <c r="F73" s="2">
        <v>-10.7957</v>
      </c>
      <c r="G73" s="2" t="s">
        <v>535</v>
      </c>
      <c r="H73" s="2">
        <v>2024</v>
      </c>
      <c r="I73" s="2">
        <v>8.2149743911896405</v>
      </c>
      <c r="J73" s="2">
        <v>0</v>
      </c>
      <c r="K73" s="2" t="b">
        <v>1</v>
      </c>
      <c r="L73" s="2" t="b">
        <v>1</v>
      </c>
      <c r="M73" s="2"/>
      <c r="N73" s="2"/>
      <c r="O73" s="2"/>
      <c r="P73" s="2"/>
      <c r="Q73" s="2"/>
      <c r="R73" s="2"/>
      <c r="S73" s="2"/>
      <c r="T73" s="2"/>
      <c r="U73" s="16"/>
    </row>
    <row r="74" spans="1:21" x14ac:dyDescent="0.35">
      <c r="A74" s="15" t="s">
        <v>351</v>
      </c>
      <c r="B74" s="2" t="s">
        <v>15</v>
      </c>
      <c r="C74" s="2" t="s">
        <v>16</v>
      </c>
      <c r="D74" s="2" t="s">
        <v>352</v>
      </c>
      <c r="E74" s="2">
        <v>9.5166699999999995</v>
      </c>
      <c r="F74" s="2">
        <v>-13.7</v>
      </c>
      <c r="G74" s="2" t="s">
        <v>355</v>
      </c>
      <c r="H74" s="2">
        <v>2024</v>
      </c>
      <c r="I74" s="2">
        <v>8.1231391494859597</v>
      </c>
      <c r="J74" s="2">
        <v>0</v>
      </c>
      <c r="K74" s="2" t="b">
        <v>1</v>
      </c>
      <c r="L74" s="2" t="b">
        <v>1</v>
      </c>
      <c r="M74" s="2"/>
      <c r="N74" s="2"/>
      <c r="O74" s="2"/>
      <c r="P74" s="2"/>
      <c r="Q74" s="2"/>
      <c r="R74" s="2"/>
      <c r="S74" s="2"/>
      <c r="T74" s="2"/>
      <c r="U74" s="16"/>
    </row>
    <row r="75" spans="1:21" x14ac:dyDescent="0.35">
      <c r="A75" s="15" t="s">
        <v>593</v>
      </c>
      <c r="B75" s="2" t="s">
        <v>15</v>
      </c>
      <c r="C75" s="2" t="s">
        <v>9</v>
      </c>
      <c r="D75" s="2" t="s">
        <v>594</v>
      </c>
      <c r="E75" s="2">
        <v>-20.466699999999999</v>
      </c>
      <c r="F75" s="2">
        <v>45.716700000000003</v>
      </c>
      <c r="G75" s="2" t="s">
        <v>597</v>
      </c>
      <c r="H75" s="2">
        <v>2024</v>
      </c>
      <c r="I75" s="2">
        <v>7.61335784313723</v>
      </c>
      <c r="J75" s="2">
        <v>0</v>
      </c>
      <c r="K75" s="2" t="b">
        <v>1</v>
      </c>
      <c r="L75" s="2" t="b">
        <v>1</v>
      </c>
      <c r="M75" s="2"/>
      <c r="N75" s="2"/>
      <c r="O75" s="2"/>
      <c r="P75" s="2"/>
      <c r="Q75" s="2"/>
      <c r="R75" s="2"/>
      <c r="S75" s="2"/>
      <c r="T75" s="2"/>
      <c r="U75" s="16"/>
    </row>
    <row r="76" spans="1:21" x14ac:dyDescent="0.35">
      <c r="A76" s="15" t="s">
        <v>936</v>
      </c>
      <c r="B76" s="2" t="s">
        <v>8</v>
      </c>
      <c r="C76" s="2" t="s">
        <v>16</v>
      </c>
      <c r="D76" s="2" t="s">
        <v>937</v>
      </c>
      <c r="E76" s="2">
        <v>36.789900000000003</v>
      </c>
      <c r="F76" s="2">
        <v>10.210000000000001</v>
      </c>
      <c r="G76" s="2" t="s">
        <v>940</v>
      </c>
      <c r="H76" s="2">
        <v>2024</v>
      </c>
      <c r="I76" s="2">
        <v>7.20661657168794</v>
      </c>
      <c r="J76" s="2">
        <v>0</v>
      </c>
      <c r="K76" s="2" t="b">
        <v>1</v>
      </c>
      <c r="L76" s="2" t="b">
        <v>1</v>
      </c>
      <c r="M76" s="2"/>
      <c r="N76" s="2"/>
      <c r="O76" s="2"/>
      <c r="P76" s="2"/>
      <c r="Q76" s="2"/>
      <c r="R76" s="2"/>
      <c r="S76" s="2"/>
      <c r="T76" s="2"/>
      <c r="U76" s="16"/>
    </row>
    <row r="77" spans="1:21" x14ac:dyDescent="0.35">
      <c r="A77" s="15" t="s">
        <v>208</v>
      </c>
      <c r="B77" s="2" t="s">
        <v>2</v>
      </c>
      <c r="C77" s="2" t="s">
        <v>23</v>
      </c>
      <c r="D77" s="2" t="s">
        <v>209</v>
      </c>
      <c r="E77" s="2">
        <v>4.6098699999999999</v>
      </c>
      <c r="F77" s="2">
        <v>-74.081999999999994</v>
      </c>
      <c r="G77" s="2" t="s">
        <v>212</v>
      </c>
      <c r="H77" s="2">
        <v>2024</v>
      </c>
      <c r="I77" s="2">
        <v>6.6090859372822797</v>
      </c>
      <c r="J77" s="2">
        <v>0</v>
      </c>
      <c r="K77" s="2" t="b">
        <v>1</v>
      </c>
      <c r="L77" s="2" t="b">
        <v>1</v>
      </c>
      <c r="M77" s="2"/>
      <c r="N77" s="2"/>
      <c r="O77" s="2"/>
      <c r="P77" s="2"/>
      <c r="Q77" s="2"/>
      <c r="R77" s="2"/>
      <c r="S77" s="2"/>
      <c r="T77" s="2"/>
      <c r="U77" s="16"/>
    </row>
    <row r="78" spans="1:21" x14ac:dyDescent="0.35">
      <c r="A78" s="15" t="s">
        <v>960</v>
      </c>
      <c r="B78" s="2" t="s">
        <v>22</v>
      </c>
      <c r="C78" s="2" t="s">
        <v>23</v>
      </c>
      <c r="D78" s="2" t="s">
        <v>961</v>
      </c>
      <c r="E78" s="2">
        <v>50.453600000000002</v>
      </c>
      <c r="F78" s="2">
        <v>30.503799999999998</v>
      </c>
      <c r="G78" s="2" t="s">
        <v>964</v>
      </c>
      <c r="H78" s="2">
        <v>2024</v>
      </c>
      <c r="I78" s="2">
        <v>6.5019846466925397</v>
      </c>
      <c r="J78" s="2">
        <v>0</v>
      </c>
      <c r="K78" s="2" t="b">
        <v>1</v>
      </c>
      <c r="L78" s="2" t="b">
        <v>1</v>
      </c>
      <c r="M78" s="2"/>
      <c r="N78" s="2"/>
      <c r="O78" s="2"/>
      <c r="P78" s="2"/>
      <c r="Q78" s="2"/>
      <c r="R78" s="2"/>
      <c r="S78" s="2"/>
      <c r="T78" s="2"/>
      <c r="U78" s="16"/>
    </row>
    <row r="79" spans="1:21" x14ac:dyDescent="0.35">
      <c r="A79" s="15" t="s">
        <v>52</v>
      </c>
      <c r="B79" s="2" t="s">
        <v>2</v>
      </c>
      <c r="C79" s="2" t="s">
        <v>3</v>
      </c>
      <c r="D79" s="2" t="s">
        <v>53</v>
      </c>
      <c r="E79" s="2">
        <v>17.1175</v>
      </c>
      <c r="F79" s="2">
        <v>-61.845599999999997</v>
      </c>
      <c r="G79" s="2" t="s">
        <v>56</v>
      </c>
      <c r="H79" s="2">
        <v>2024</v>
      </c>
      <c r="I79" s="2">
        <v>6.1988669884211598</v>
      </c>
      <c r="J79" s="2">
        <v>0</v>
      </c>
      <c r="K79" s="2" t="b">
        <v>1</v>
      </c>
      <c r="L79" s="2" t="b">
        <v>1</v>
      </c>
      <c r="M79" s="2"/>
      <c r="N79" s="2"/>
      <c r="O79" s="2"/>
      <c r="P79" s="2"/>
      <c r="Q79" s="2"/>
      <c r="R79" s="2"/>
      <c r="S79" s="2"/>
      <c r="T79" s="2"/>
      <c r="U79" s="16"/>
    </row>
    <row r="80" spans="1:21" x14ac:dyDescent="0.35">
      <c r="A80" s="15" t="s">
        <v>113</v>
      </c>
      <c r="B80" s="2" t="s">
        <v>22</v>
      </c>
      <c r="C80" s="2" t="s">
        <v>23</v>
      </c>
      <c r="D80" s="2" t="s">
        <v>114</v>
      </c>
      <c r="E80" s="2">
        <v>43.860700000000001</v>
      </c>
      <c r="F80" s="2">
        <v>18.421399999999998</v>
      </c>
      <c r="G80" s="2" t="s">
        <v>117</v>
      </c>
      <c r="H80" s="2">
        <v>2023</v>
      </c>
      <c r="I80" s="2">
        <v>6.1059011284827998</v>
      </c>
      <c r="J80" s="2">
        <v>0</v>
      </c>
      <c r="K80" s="2" t="b">
        <v>1</v>
      </c>
      <c r="L80" s="2" t="b">
        <v>1</v>
      </c>
      <c r="M80" s="2"/>
      <c r="N80" s="2"/>
      <c r="O80" s="2"/>
      <c r="P80" s="2"/>
      <c r="Q80" s="2"/>
      <c r="R80" s="2"/>
      <c r="S80" s="2"/>
      <c r="T80" s="2"/>
      <c r="U80" s="16"/>
    </row>
    <row r="81" spans="1:21" x14ac:dyDescent="0.35">
      <c r="A81" s="15" t="s">
        <v>555</v>
      </c>
      <c r="B81" s="2" t="s">
        <v>15</v>
      </c>
      <c r="C81" s="2" t="s">
        <v>16</v>
      </c>
      <c r="D81" s="2" t="s">
        <v>556</v>
      </c>
      <c r="E81" s="2">
        <v>-29.520800000000001</v>
      </c>
      <c r="F81" s="2">
        <v>27.716699999999999</v>
      </c>
      <c r="G81" s="2" t="s">
        <v>559</v>
      </c>
      <c r="H81" s="2">
        <v>2024</v>
      </c>
      <c r="I81" s="2">
        <v>6.10544624245032</v>
      </c>
      <c r="J81" s="2">
        <v>0</v>
      </c>
      <c r="K81" s="2" t="b">
        <v>1</v>
      </c>
      <c r="L81" s="2" t="b">
        <v>1</v>
      </c>
      <c r="M81" s="2"/>
      <c r="N81" s="2"/>
      <c r="O81" s="2"/>
      <c r="P81" s="2"/>
      <c r="Q81" s="2"/>
      <c r="R81" s="2"/>
      <c r="S81" s="2"/>
      <c r="T81" s="2"/>
      <c r="U81" s="16"/>
    </row>
    <row r="82" spans="1:21" x14ac:dyDescent="0.35">
      <c r="A82" s="15" t="s">
        <v>118</v>
      </c>
      <c r="B82" s="2" t="s">
        <v>22</v>
      </c>
      <c r="C82" s="2" t="s">
        <v>23</v>
      </c>
      <c r="D82" s="2" t="s">
        <v>119</v>
      </c>
      <c r="E82" s="2">
        <v>53.967799999999997</v>
      </c>
      <c r="F82" s="2">
        <v>27.576599999999999</v>
      </c>
      <c r="G82" s="2" t="s">
        <v>122</v>
      </c>
      <c r="H82" s="2">
        <v>2024</v>
      </c>
      <c r="I82" s="2">
        <v>5.7853191042800498</v>
      </c>
      <c r="J82" s="2">
        <v>0</v>
      </c>
      <c r="K82" s="2" t="b">
        <v>1</v>
      </c>
      <c r="L82" s="2" t="b">
        <v>1</v>
      </c>
      <c r="M82" s="2"/>
      <c r="N82" s="2"/>
      <c r="O82" s="2"/>
      <c r="P82" s="2"/>
      <c r="Q82" s="2"/>
      <c r="R82" s="2"/>
      <c r="S82" s="2"/>
      <c r="T82" s="2"/>
      <c r="U82" s="16"/>
    </row>
    <row r="83" spans="1:21" x14ac:dyDescent="0.35">
      <c r="A83" s="15" t="s">
        <v>787</v>
      </c>
      <c r="B83" s="2" t="s">
        <v>22</v>
      </c>
      <c r="C83" s="2" t="s">
        <v>3</v>
      </c>
      <c r="D83" s="2" t="s">
        <v>788</v>
      </c>
      <c r="E83" s="2">
        <v>44.447899999999997</v>
      </c>
      <c r="F83" s="2">
        <v>26.097899999999999</v>
      </c>
      <c r="G83" s="2" t="s">
        <v>791</v>
      </c>
      <c r="H83" s="2">
        <v>2024</v>
      </c>
      <c r="I83" s="2">
        <v>5.7214057435443904</v>
      </c>
      <c r="J83" s="2">
        <v>0</v>
      </c>
      <c r="K83" s="2" t="b">
        <v>1</v>
      </c>
      <c r="L83" s="2" t="b">
        <v>1</v>
      </c>
      <c r="M83" s="2"/>
      <c r="N83" s="2"/>
      <c r="O83" s="2"/>
      <c r="P83" s="2"/>
      <c r="Q83" s="2"/>
      <c r="R83" s="2"/>
      <c r="S83" s="2"/>
      <c r="T83" s="2"/>
      <c r="U83" s="16"/>
    </row>
    <row r="84" spans="1:21" x14ac:dyDescent="0.35">
      <c r="A84" s="15" t="s">
        <v>466</v>
      </c>
      <c r="B84" s="2" t="s">
        <v>2</v>
      </c>
      <c r="C84" s="2" t="s">
        <v>23</v>
      </c>
      <c r="D84" s="2" t="s">
        <v>467</v>
      </c>
      <c r="E84" s="2">
        <v>17.992699999999999</v>
      </c>
      <c r="F84" s="2">
        <v>-76.792000000000002</v>
      </c>
      <c r="G84" s="2" t="s">
        <v>470</v>
      </c>
      <c r="H84" s="2">
        <v>2024</v>
      </c>
      <c r="I84" s="2">
        <v>5.4119444798165901</v>
      </c>
      <c r="J84" s="2">
        <v>0</v>
      </c>
      <c r="K84" s="2" t="b">
        <v>1</v>
      </c>
      <c r="L84" s="2" t="b">
        <v>1</v>
      </c>
      <c r="M84" s="2"/>
      <c r="N84" s="2"/>
      <c r="O84" s="2"/>
      <c r="P84" s="2"/>
      <c r="Q84" s="2"/>
      <c r="R84" s="2"/>
      <c r="S84" s="2"/>
      <c r="T84" s="2"/>
      <c r="U84" s="16"/>
    </row>
    <row r="85" spans="1:21" x14ac:dyDescent="0.35">
      <c r="A85" s="15" t="s">
        <v>325</v>
      </c>
      <c r="B85" s="2" t="s">
        <v>48</v>
      </c>
      <c r="C85" s="2" t="s">
        <v>23</v>
      </c>
      <c r="D85" s="2" t="s">
        <v>326</v>
      </c>
      <c r="E85" s="2">
        <v>6.9177099999999996</v>
      </c>
      <c r="F85" s="2">
        <v>158.185</v>
      </c>
      <c r="G85" s="2" t="s">
        <v>329</v>
      </c>
      <c r="H85" s="2">
        <v>2022</v>
      </c>
      <c r="I85" s="2">
        <v>5.4087437547906703</v>
      </c>
      <c r="J85" s="2">
        <v>0</v>
      </c>
      <c r="K85" s="2" t="b">
        <v>1</v>
      </c>
      <c r="L85" s="2" t="b">
        <v>1</v>
      </c>
      <c r="M85" s="2"/>
      <c r="N85" s="2"/>
      <c r="O85" s="2"/>
      <c r="P85" s="2"/>
      <c r="Q85" s="2"/>
      <c r="R85" s="2"/>
      <c r="S85" s="2"/>
      <c r="T85" s="2"/>
      <c r="U85" s="16"/>
    </row>
    <row r="86" spans="1:21" x14ac:dyDescent="0.35">
      <c r="A86" s="15" t="s">
        <v>133</v>
      </c>
      <c r="B86" s="2" t="s">
        <v>2</v>
      </c>
      <c r="C86" s="2" t="s">
        <v>16</v>
      </c>
      <c r="D86" s="2" t="s">
        <v>134</v>
      </c>
      <c r="E86" s="2">
        <v>-13.9908</v>
      </c>
      <c r="F86" s="2">
        <v>-66.193600000000004</v>
      </c>
      <c r="G86" s="2" t="s">
        <v>137</v>
      </c>
      <c r="H86" s="2">
        <v>2024</v>
      </c>
      <c r="I86" s="2">
        <v>5.0997656831742697</v>
      </c>
      <c r="J86" s="2">
        <v>0</v>
      </c>
      <c r="K86" s="2" t="b">
        <v>1</v>
      </c>
      <c r="L86" s="2" t="b">
        <v>1</v>
      </c>
      <c r="M86" s="2"/>
      <c r="N86" s="2"/>
      <c r="O86" s="2"/>
      <c r="P86" s="2"/>
      <c r="Q86" s="2"/>
      <c r="R86" s="2"/>
      <c r="S86" s="2"/>
      <c r="T86" s="2"/>
      <c r="U86" s="16"/>
    </row>
    <row r="87" spans="1:21" x14ac:dyDescent="0.35">
      <c r="A87" s="15" t="s">
        <v>213</v>
      </c>
      <c r="B87" s="2" t="s">
        <v>15</v>
      </c>
      <c r="C87" s="2" t="s">
        <v>16</v>
      </c>
      <c r="D87" s="2" t="s">
        <v>214</v>
      </c>
      <c r="E87" s="2">
        <v>-11.698600000000001</v>
      </c>
      <c r="F87" s="2">
        <v>43.241799999999998</v>
      </c>
      <c r="G87" s="2" t="s">
        <v>217</v>
      </c>
      <c r="H87" s="2">
        <v>2024</v>
      </c>
      <c r="I87" s="2">
        <v>5.0519260958821803</v>
      </c>
      <c r="J87" s="2">
        <v>0</v>
      </c>
      <c r="K87" s="2" t="b">
        <v>1</v>
      </c>
      <c r="L87" s="2" t="b">
        <v>1</v>
      </c>
      <c r="M87" s="2"/>
      <c r="N87" s="2"/>
      <c r="O87" s="2"/>
      <c r="P87" s="2"/>
      <c r="Q87" s="2"/>
      <c r="R87" s="2"/>
      <c r="S87" s="2"/>
      <c r="T87" s="2"/>
      <c r="U87" s="16"/>
    </row>
    <row r="88" spans="1:21" x14ac:dyDescent="0.35">
      <c r="A88" s="15" t="s">
        <v>491</v>
      </c>
      <c r="B88" s="2" t="s">
        <v>22</v>
      </c>
      <c r="C88" s="2" t="s">
        <v>16</v>
      </c>
      <c r="D88" s="2" t="s">
        <v>492</v>
      </c>
      <c r="E88" s="2">
        <v>42.885100000000001</v>
      </c>
      <c r="F88" s="2">
        <v>74.605699999999999</v>
      </c>
      <c r="G88" s="2" t="s">
        <v>495</v>
      </c>
      <c r="H88" s="2">
        <v>2024</v>
      </c>
      <c r="I88" s="2">
        <v>4.9976070120732299</v>
      </c>
      <c r="J88" s="2">
        <v>0</v>
      </c>
      <c r="K88" s="2" t="b">
        <v>1</v>
      </c>
      <c r="L88" s="2" t="b">
        <v>1</v>
      </c>
      <c r="M88" s="2"/>
      <c r="N88" s="2"/>
      <c r="O88" s="2"/>
      <c r="P88" s="2"/>
      <c r="Q88" s="2"/>
      <c r="R88" s="2"/>
      <c r="S88" s="2"/>
      <c r="T88" s="2"/>
      <c r="U88" s="16"/>
    </row>
    <row r="89" spans="1:21" x14ac:dyDescent="0.35">
      <c r="A89" s="15" t="s">
        <v>965</v>
      </c>
      <c r="B89" s="2" t="s">
        <v>2</v>
      </c>
      <c r="C89" s="2" t="s">
        <v>3</v>
      </c>
      <c r="D89" s="2" t="s">
        <v>966</v>
      </c>
      <c r="E89" s="2">
        <v>-34.894100000000002</v>
      </c>
      <c r="F89" s="2">
        <v>-56.067500000000003</v>
      </c>
      <c r="G89" s="2" t="s">
        <v>969</v>
      </c>
      <c r="H89" s="2">
        <v>2024</v>
      </c>
      <c r="I89" s="2">
        <v>4.8491436661315603</v>
      </c>
      <c r="J89" s="2">
        <v>0</v>
      </c>
      <c r="K89" s="2" t="b">
        <v>1</v>
      </c>
      <c r="L89" s="2" t="b">
        <v>1</v>
      </c>
      <c r="M89" s="2"/>
      <c r="N89" s="2"/>
      <c r="O89" s="2"/>
      <c r="P89" s="2"/>
      <c r="Q89" s="2"/>
      <c r="R89" s="2"/>
      <c r="S89" s="2"/>
      <c r="T89" s="2"/>
      <c r="U89" s="16"/>
    </row>
    <row r="90" spans="1:21" x14ac:dyDescent="0.35">
      <c r="A90" s="15" t="s">
        <v>588</v>
      </c>
      <c r="B90" s="2" t="s">
        <v>22</v>
      </c>
      <c r="C90" s="2" t="s">
        <v>23</v>
      </c>
      <c r="D90" s="2" t="s">
        <v>589</v>
      </c>
      <c r="E90" s="2">
        <v>47.0167</v>
      </c>
      <c r="F90" s="2">
        <v>28.849699999999999</v>
      </c>
      <c r="G90" s="2" t="s">
        <v>592</v>
      </c>
      <c r="H90" s="2">
        <v>2024</v>
      </c>
      <c r="I90" s="2">
        <v>4.6777351600704797</v>
      </c>
      <c r="J90" s="2">
        <v>0</v>
      </c>
      <c r="K90" s="2" t="b">
        <v>1</v>
      </c>
      <c r="L90" s="2" t="b">
        <v>1</v>
      </c>
      <c r="M90" s="2"/>
      <c r="N90" s="2"/>
      <c r="O90" s="2"/>
      <c r="P90" s="2"/>
      <c r="Q90" s="2"/>
      <c r="R90" s="2"/>
      <c r="S90" s="2"/>
      <c r="T90" s="2"/>
      <c r="U90" s="16"/>
    </row>
    <row r="91" spans="1:21" x14ac:dyDescent="0.35">
      <c r="A91" s="15" t="s">
        <v>844</v>
      </c>
      <c r="B91" s="2" t="s">
        <v>22</v>
      </c>
      <c r="C91" s="2" t="s">
        <v>23</v>
      </c>
      <c r="D91" s="2" t="s">
        <v>845</v>
      </c>
      <c r="E91" s="2">
        <v>44.802399999999999</v>
      </c>
      <c r="F91" s="2">
        <v>20.465599999999998</v>
      </c>
      <c r="G91" s="2" t="s">
        <v>848</v>
      </c>
      <c r="H91" s="2">
        <v>2024</v>
      </c>
      <c r="I91" s="2">
        <v>4.6705297488996997</v>
      </c>
      <c r="J91" s="2">
        <v>0</v>
      </c>
      <c r="K91" s="2" t="b">
        <v>1</v>
      </c>
      <c r="L91" s="2" t="b">
        <v>1</v>
      </c>
      <c r="M91" s="2"/>
      <c r="N91" s="2"/>
      <c r="O91" s="2"/>
      <c r="P91" s="2"/>
      <c r="Q91" s="2"/>
      <c r="R91" s="2"/>
      <c r="S91" s="2"/>
      <c r="T91" s="2"/>
      <c r="U91" s="16"/>
    </row>
    <row r="92" spans="1:21" x14ac:dyDescent="0.35">
      <c r="A92" s="15" t="s">
        <v>689</v>
      </c>
      <c r="B92" s="2" t="s">
        <v>2</v>
      </c>
      <c r="C92" s="2" t="s">
        <v>16</v>
      </c>
      <c r="D92" s="2" t="s">
        <v>690</v>
      </c>
      <c r="E92" s="2">
        <v>12.147500000000001</v>
      </c>
      <c r="F92" s="2">
        <v>-86.273399999999995</v>
      </c>
      <c r="G92" s="2" t="s">
        <v>693</v>
      </c>
      <c r="H92" s="2">
        <v>2024</v>
      </c>
      <c r="I92" s="2">
        <v>4.6247384105714104</v>
      </c>
      <c r="J92" s="2">
        <v>0</v>
      </c>
      <c r="K92" s="2" t="b">
        <v>1</v>
      </c>
      <c r="L92" s="2" t="b">
        <v>1</v>
      </c>
      <c r="M92" s="2"/>
      <c r="N92" s="2"/>
      <c r="O92" s="2"/>
      <c r="P92" s="2"/>
      <c r="Q92" s="2"/>
      <c r="R92" s="2">
        <v>0.21</v>
      </c>
      <c r="S92" s="2">
        <v>9.02</v>
      </c>
      <c r="T92" s="2"/>
      <c r="U92" s="16"/>
    </row>
    <row r="93" spans="1:21" x14ac:dyDescent="0.35">
      <c r="A93" s="15" t="s">
        <v>403</v>
      </c>
      <c r="B93" s="2" t="s">
        <v>2</v>
      </c>
      <c r="C93" s="2" t="s">
        <v>16</v>
      </c>
      <c r="D93" s="2" t="s">
        <v>404</v>
      </c>
      <c r="E93" s="2">
        <v>15.1333</v>
      </c>
      <c r="F93" s="2">
        <v>-87.466700000000003</v>
      </c>
      <c r="G93" s="2" t="s">
        <v>407</v>
      </c>
      <c r="H93" s="2">
        <v>2024</v>
      </c>
      <c r="I93" s="2">
        <v>4.6062109812710101</v>
      </c>
      <c r="J93" s="2">
        <v>0</v>
      </c>
      <c r="K93" s="2" t="b">
        <v>1</v>
      </c>
      <c r="L93" s="2" t="b">
        <v>1</v>
      </c>
      <c r="M93" s="2"/>
      <c r="N93" s="2"/>
      <c r="O93" s="2"/>
      <c r="P93" s="2"/>
      <c r="Q93" s="2"/>
      <c r="R93" s="2"/>
      <c r="S93" s="2"/>
      <c r="T93" s="2"/>
      <c r="U93" s="16"/>
    </row>
    <row r="94" spans="1:21" x14ac:dyDescent="0.35">
      <c r="A94" s="15" t="s">
        <v>194</v>
      </c>
      <c r="B94" s="2" t="s">
        <v>15</v>
      </c>
      <c r="C94" s="2" t="s">
        <v>16</v>
      </c>
      <c r="D94" s="2" t="s">
        <v>195</v>
      </c>
      <c r="E94" s="2">
        <v>3.8721000000000001</v>
      </c>
      <c r="F94" s="2">
        <v>11.5174</v>
      </c>
      <c r="G94" s="2" t="s">
        <v>198</v>
      </c>
      <c r="H94" s="2">
        <v>2024</v>
      </c>
      <c r="I94" s="2">
        <v>4.53331349711606</v>
      </c>
      <c r="J94" s="2">
        <v>0</v>
      </c>
      <c r="K94" s="2" t="b">
        <v>1</v>
      </c>
      <c r="L94" s="2" t="b">
        <v>1</v>
      </c>
      <c r="M94" s="2"/>
      <c r="N94" s="2"/>
      <c r="O94" s="2"/>
      <c r="P94" s="2"/>
      <c r="Q94" s="2"/>
      <c r="R94" s="2"/>
      <c r="S94" s="2"/>
      <c r="T94" s="2"/>
      <c r="U94" s="16"/>
    </row>
    <row r="95" spans="1:21" x14ac:dyDescent="0.35">
      <c r="A95" s="15" t="s">
        <v>486</v>
      </c>
      <c r="B95" s="2" t="s">
        <v>15</v>
      </c>
      <c r="C95" s="2" t="s">
        <v>16</v>
      </c>
      <c r="D95" s="2" t="s">
        <v>487</v>
      </c>
      <c r="E95" s="2">
        <v>-1.2797499999999999</v>
      </c>
      <c r="F95" s="2">
        <v>36.812600000000003</v>
      </c>
      <c r="G95" s="2" t="s">
        <v>490</v>
      </c>
      <c r="H95" s="2">
        <v>2024</v>
      </c>
      <c r="I95" s="2">
        <v>4.4897885424344803</v>
      </c>
      <c r="J95" s="2">
        <v>0</v>
      </c>
      <c r="K95" s="2" t="b">
        <v>1</v>
      </c>
      <c r="L95" s="2" t="b">
        <v>1</v>
      </c>
      <c r="M95" s="2"/>
      <c r="N95" s="2"/>
      <c r="O95" s="2"/>
      <c r="P95" s="2"/>
      <c r="Q95" s="2"/>
      <c r="R95" s="2"/>
      <c r="S95" s="2"/>
      <c r="T95" s="2"/>
      <c r="U95" s="16"/>
    </row>
    <row r="96" spans="1:21" x14ac:dyDescent="0.35">
      <c r="A96" s="15" t="s">
        <v>821</v>
      </c>
      <c r="B96" s="2" t="s">
        <v>48</v>
      </c>
      <c r="C96" s="2" t="s">
        <v>16</v>
      </c>
      <c r="D96" s="2" t="s">
        <v>822</v>
      </c>
      <c r="E96" s="2">
        <v>-9.4267599999999998</v>
      </c>
      <c r="F96" s="2">
        <v>159.94900000000001</v>
      </c>
      <c r="G96" s="2" t="s">
        <v>825</v>
      </c>
      <c r="H96" s="2">
        <v>2024</v>
      </c>
      <c r="I96" s="2">
        <v>4.3218394838803302</v>
      </c>
      <c r="J96" s="2">
        <v>0</v>
      </c>
      <c r="K96" s="2" t="b">
        <v>1</v>
      </c>
      <c r="L96" s="2" t="b">
        <v>1</v>
      </c>
      <c r="M96" s="2"/>
      <c r="N96" s="2"/>
      <c r="O96" s="2"/>
      <c r="P96" s="2"/>
      <c r="Q96" s="2"/>
      <c r="R96" s="2"/>
      <c r="S96" s="2"/>
      <c r="T96" s="2"/>
      <c r="U96" s="16"/>
    </row>
    <row r="97" spans="1:21" x14ac:dyDescent="0.35">
      <c r="A97" s="15" t="s">
        <v>179</v>
      </c>
      <c r="B97" s="2" t="s">
        <v>2</v>
      </c>
      <c r="C97" s="2" t="s">
        <v>3</v>
      </c>
      <c r="D97" s="2" t="s">
        <v>180</v>
      </c>
      <c r="E97" s="2">
        <v>-33.475000000000001</v>
      </c>
      <c r="F97" s="2">
        <v>-70.647499999999994</v>
      </c>
      <c r="G97" s="2" t="s">
        <v>183</v>
      </c>
      <c r="H97" s="2">
        <v>2024</v>
      </c>
      <c r="I97" s="2">
        <v>4.2976389157252397</v>
      </c>
      <c r="J97" s="2">
        <v>0</v>
      </c>
      <c r="K97" s="2" t="b">
        <v>1</v>
      </c>
      <c r="L97" s="2" t="b">
        <v>1</v>
      </c>
      <c r="M97" s="2"/>
      <c r="N97" s="2"/>
      <c r="O97" s="2"/>
      <c r="P97" s="2"/>
      <c r="Q97" s="2"/>
      <c r="R97" s="2"/>
      <c r="S97" s="2"/>
      <c r="T97" s="2"/>
      <c r="U97" s="16"/>
    </row>
    <row r="98" spans="1:21" x14ac:dyDescent="0.35">
      <c r="A98" s="15" t="s">
        <v>670</v>
      </c>
      <c r="B98" s="2" t="s">
        <v>15</v>
      </c>
      <c r="C98" s="2" t="s">
        <v>16</v>
      </c>
      <c r="D98" s="2" t="s">
        <v>671</v>
      </c>
      <c r="E98" s="2">
        <v>-22.564800000000002</v>
      </c>
      <c r="F98" s="2">
        <v>17.0931</v>
      </c>
      <c r="G98" s="2" t="s">
        <v>674</v>
      </c>
      <c r="H98" s="2">
        <v>2024</v>
      </c>
      <c r="I98" s="2">
        <v>4.23903922877036</v>
      </c>
      <c r="J98" s="2">
        <v>0</v>
      </c>
      <c r="K98" s="2" t="b">
        <v>1</v>
      </c>
      <c r="L98" s="2" t="b">
        <v>1</v>
      </c>
      <c r="M98" s="2"/>
      <c r="N98" s="2"/>
      <c r="O98" s="2"/>
      <c r="P98" s="2"/>
      <c r="Q98" s="2"/>
      <c r="R98" s="2"/>
      <c r="S98" s="2"/>
      <c r="T98" s="2"/>
      <c r="U98" s="16"/>
    </row>
    <row r="99" spans="1:21" x14ac:dyDescent="0.35">
      <c r="A99" s="15" t="s">
        <v>87</v>
      </c>
      <c r="B99" s="2" t="s">
        <v>15</v>
      </c>
      <c r="C99" s="2" t="s">
        <v>9</v>
      </c>
      <c r="D99" s="2" t="s">
        <v>88</v>
      </c>
      <c r="E99" s="2">
        <v>12.3605</v>
      </c>
      <c r="F99" s="2">
        <v>-1.5339499999999999</v>
      </c>
      <c r="G99" s="2" t="s">
        <v>91</v>
      </c>
      <c r="H99" s="2">
        <v>2024</v>
      </c>
      <c r="I99" s="2">
        <v>4.1908172134452304</v>
      </c>
      <c r="J99" s="2">
        <v>0</v>
      </c>
      <c r="K99" s="2" t="b">
        <v>1</v>
      </c>
      <c r="L99" s="2" t="b">
        <v>1</v>
      </c>
      <c r="M99" s="2"/>
      <c r="N99" s="2"/>
      <c r="O99" s="2"/>
      <c r="P99" s="2"/>
      <c r="Q99" s="2"/>
      <c r="R99" s="2"/>
      <c r="S99" s="2"/>
      <c r="T99" s="2"/>
      <c r="U99" s="16"/>
    </row>
    <row r="100" spans="1:21" x14ac:dyDescent="0.35">
      <c r="A100" s="15" t="s">
        <v>645</v>
      </c>
      <c r="B100" s="2" t="s">
        <v>15</v>
      </c>
      <c r="C100" s="2" t="s">
        <v>9</v>
      </c>
      <c r="D100" s="2" t="s">
        <v>646</v>
      </c>
      <c r="E100" s="2">
        <v>-25.9664</v>
      </c>
      <c r="F100" s="2">
        <v>32.571300000000001</v>
      </c>
      <c r="G100" s="2" t="s">
        <v>649</v>
      </c>
      <c r="H100" s="2">
        <v>2024</v>
      </c>
      <c r="I100" s="2">
        <v>4.0785683481202204</v>
      </c>
      <c r="J100" s="2">
        <v>0</v>
      </c>
      <c r="K100" s="2" t="b">
        <v>1</v>
      </c>
      <c r="L100" s="2" t="b">
        <v>1</v>
      </c>
      <c r="M100" s="2"/>
      <c r="N100" s="2"/>
      <c r="O100" s="2"/>
      <c r="P100" s="2"/>
      <c r="Q100" s="2"/>
      <c r="R100" s="2"/>
      <c r="S100" s="2"/>
      <c r="T100" s="2"/>
      <c r="U100" s="16"/>
    </row>
    <row r="101" spans="1:21" x14ac:dyDescent="0.35">
      <c r="A101" s="15" t="s">
        <v>272</v>
      </c>
      <c r="B101" s="2" t="s">
        <v>8</v>
      </c>
      <c r="C101" s="2" t="s">
        <v>23</v>
      </c>
      <c r="D101" s="2" t="s">
        <v>273</v>
      </c>
      <c r="E101" s="2">
        <v>36.739699999999999</v>
      </c>
      <c r="F101" s="2">
        <v>3.05097</v>
      </c>
      <c r="G101" s="2" t="s">
        <v>276</v>
      </c>
      <c r="H101" s="2">
        <v>2024</v>
      </c>
      <c r="I101" s="2">
        <v>4.0461145531343403</v>
      </c>
      <c r="J101" s="2">
        <v>0</v>
      </c>
      <c r="K101" s="2" t="b">
        <v>1</v>
      </c>
      <c r="L101" s="2" t="b">
        <v>1</v>
      </c>
      <c r="M101" s="2"/>
      <c r="N101" s="2"/>
      <c r="O101" s="2"/>
      <c r="P101" s="2"/>
      <c r="Q101" s="2"/>
      <c r="R101" s="2"/>
      <c r="S101" s="2"/>
      <c r="T101" s="2"/>
      <c r="U101" s="16"/>
    </row>
    <row r="102" spans="1:21" x14ac:dyDescent="0.35">
      <c r="A102" s="15" t="s">
        <v>311</v>
      </c>
      <c r="B102" s="2" t="s">
        <v>48</v>
      </c>
      <c r="C102" s="2" t="s">
        <v>23</v>
      </c>
      <c r="D102" s="2" t="s">
        <v>312</v>
      </c>
      <c r="E102" s="2">
        <v>-18.114899999999999</v>
      </c>
      <c r="F102" s="2">
        <v>178.399</v>
      </c>
      <c r="G102" s="2" t="s">
        <v>315</v>
      </c>
      <c r="H102" s="2">
        <v>2024</v>
      </c>
      <c r="I102" s="2">
        <v>3.8908423788410502</v>
      </c>
      <c r="J102" s="2">
        <v>0</v>
      </c>
      <c r="K102" s="2" t="b">
        <v>1</v>
      </c>
      <c r="L102" s="2" t="b">
        <v>1</v>
      </c>
      <c r="M102" s="2"/>
      <c r="N102" s="2"/>
      <c r="O102" s="2"/>
      <c r="P102" s="2"/>
      <c r="Q102" s="2"/>
      <c r="R102" s="2"/>
      <c r="S102" s="2"/>
      <c r="T102" s="2"/>
      <c r="U102" s="16"/>
    </row>
    <row r="103" spans="1:21" x14ac:dyDescent="0.35">
      <c r="A103" s="15" t="s">
        <v>771</v>
      </c>
      <c r="B103" s="2" t="s">
        <v>2</v>
      </c>
      <c r="C103" s="2" t="s">
        <v>23</v>
      </c>
      <c r="D103" s="2" t="s">
        <v>772</v>
      </c>
      <c r="E103" s="2">
        <v>-25.3005</v>
      </c>
      <c r="F103" s="2">
        <v>-57.636200000000002</v>
      </c>
      <c r="G103" s="2" t="s">
        <v>775</v>
      </c>
      <c r="H103" s="2">
        <v>2024</v>
      </c>
      <c r="I103" s="2">
        <v>3.83540271728533</v>
      </c>
      <c r="J103" s="2">
        <v>0</v>
      </c>
      <c r="K103" s="2" t="b">
        <v>1</v>
      </c>
      <c r="L103" s="2" t="b">
        <v>1</v>
      </c>
      <c r="M103" s="2"/>
      <c r="N103" s="2"/>
      <c r="O103" s="2"/>
      <c r="P103" s="2"/>
      <c r="Q103" s="2"/>
      <c r="R103" s="2"/>
      <c r="S103" s="2"/>
      <c r="T103" s="2"/>
      <c r="U103" s="16"/>
    </row>
    <row r="104" spans="1:21" x14ac:dyDescent="0.35">
      <c r="A104" s="15" t="s">
        <v>361</v>
      </c>
      <c r="B104" s="2" t="s">
        <v>15</v>
      </c>
      <c r="C104" s="2" t="s">
        <v>9</v>
      </c>
      <c r="D104" s="2" t="s">
        <v>362</v>
      </c>
      <c r="E104" s="2">
        <v>11.803699999999999</v>
      </c>
      <c r="F104" s="2">
        <v>-15.180400000000001</v>
      </c>
      <c r="G104" s="2" t="s">
        <v>365</v>
      </c>
      <c r="H104" s="2">
        <v>2024</v>
      </c>
      <c r="I104" s="2">
        <v>3.7655582577011399</v>
      </c>
      <c r="J104" s="2">
        <v>0</v>
      </c>
      <c r="K104" s="2" t="b">
        <v>1</v>
      </c>
      <c r="L104" s="2" t="b">
        <v>1</v>
      </c>
      <c r="M104" s="2"/>
      <c r="N104" s="2"/>
      <c r="O104" s="2"/>
      <c r="P104" s="2"/>
      <c r="Q104" s="2"/>
      <c r="R104" s="2"/>
      <c r="S104" s="2"/>
      <c r="T104" s="2"/>
      <c r="U104" s="16"/>
    </row>
    <row r="105" spans="1:21" x14ac:dyDescent="0.35">
      <c r="A105" s="15" t="s">
        <v>418</v>
      </c>
      <c r="B105" s="2" t="s">
        <v>22</v>
      </c>
      <c r="C105" s="2" t="s">
        <v>3</v>
      </c>
      <c r="D105" s="2" t="s">
        <v>419</v>
      </c>
      <c r="E105" s="2">
        <v>47.498399999999997</v>
      </c>
      <c r="F105" s="2">
        <v>19.040800000000001</v>
      </c>
      <c r="G105" s="2" t="s">
        <v>422</v>
      </c>
      <c r="H105" s="2">
        <v>2024</v>
      </c>
      <c r="I105" s="2">
        <v>3.70370370370369</v>
      </c>
      <c r="J105" s="2">
        <v>0</v>
      </c>
      <c r="K105" s="2" t="b">
        <v>1</v>
      </c>
      <c r="L105" s="2" t="b">
        <v>1</v>
      </c>
      <c r="M105" s="2"/>
      <c r="N105" s="2"/>
      <c r="O105" s="2"/>
      <c r="P105" s="2"/>
      <c r="Q105" s="2"/>
      <c r="R105" s="2"/>
      <c r="S105" s="2"/>
      <c r="T105" s="2"/>
      <c r="U105" s="16"/>
    </row>
    <row r="106" spans="1:21" x14ac:dyDescent="0.35">
      <c r="A106" s="15" t="s">
        <v>980</v>
      </c>
      <c r="B106" s="2" t="s">
        <v>2</v>
      </c>
      <c r="C106" s="2" t="s">
        <v>23</v>
      </c>
      <c r="D106" s="2" t="s">
        <v>981</v>
      </c>
      <c r="E106" s="2">
        <v>13.2035</v>
      </c>
      <c r="F106" s="2">
        <v>-61.265300000000003</v>
      </c>
      <c r="G106" s="2" t="s">
        <v>984</v>
      </c>
      <c r="H106" s="2">
        <v>2024</v>
      </c>
      <c r="I106" s="2">
        <v>3.6277073694092699</v>
      </c>
      <c r="J106" s="2">
        <v>0</v>
      </c>
      <c r="K106" s="2" t="b">
        <v>1</v>
      </c>
      <c r="L106" s="2" t="b">
        <v>1</v>
      </c>
      <c r="M106" s="2"/>
      <c r="N106" s="2"/>
      <c r="O106" s="2"/>
      <c r="P106" s="2"/>
      <c r="Q106" s="2"/>
      <c r="R106" s="2"/>
      <c r="S106" s="2"/>
      <c r="T106" s="2"/>
      <c r="U106" s="16"/>
    </row>
    <row r="107" spans="1:21" x14ac:dyDescent="0.35">
      <c r="A107" s="15" t="s">
        <v>997</v>
      </c>
      <c r="B107" s="2" t="s">
        <v>48</v>
      </c>
      <c r="C107" s="2" t="s">
        <v>23</v>
      </c>
      <c r="D107" s="2" t="s">
        <v>998</v>
      </c>
      <c r="E107" s="2">
        <v>21.006900000000002</v>
      </c>
      <c r="F107" s="2">
        <v>105.825</v>
      </c>
      <c r="G107" s="2" t="s">
        <v>1001</v>
      </c>
      <c r="H107" s="2">
        <v>2024</v>
      </c>
      <c r="I107" s="2">
        <v>3.6210927388584402</v>
      </c>
      <c r="J107" s="2">
        <v>0</v>
      </c>
      <c r="K107" s="2" t="b">
        <v>1</v>
      </c>
      <c r="L107" s="2" t="b">
        <v>1</v>
      </c>
      <c r="M107" s="2"/>
      <c r="N107" s="2"/>
      <c r="O107" s="2"/>
      <c r="P107" s="2"/>
      <c r="Q107" s="2"/>
      <c r="R107" s="2"/>
      <c r="S107" s="2"/>
      <c r="T107" s="2"/>
      <c r="U107" s="16"/>
    </row>
    <row r="108" spans="1:21" x14ac:dyDescent="0.35">
      <c r="A108" s="15" t="s">
        <v>655</v>
      </c>
      <c r="B108" s="2" t="s">
        <v>15</v>
      </c>
      <c r="C108" s="2" t="s">
        <v>23</v>
      </c>
      <c r="D108" s="2" t="s">
        <v>656</v>
      </c>
      <c r="E108" s="2">
        <v>-20.160499999999999</v>
      </c>
      <c r="F108" s="2">
        <v>57.497700000000002</v>
      </c>
      <c r="G108" s="2" t="s">
        <v>659</v>
      </c>
      <c r="H108" s="2">
        <v>2024</v>
      </c>
      <c r="I108" s="2">
        <v>3.6045220384796002</v>
      </c>
      <c r="J108" s="2">
        <v>0</v>
      </c>
      <c r="K108" s="2" t="b">
        <v>1</v>
      </c>
      <c r="L108" s="2" t="b">
        <v>1</v>
      </c>
      <c r="M108" s="2"/>
      <c r="N108" s="2"/>
      <c r="O108" s="2"/>
      <c r="P108" s="2"/>
      <c r="Q108" s="2"/>
      <c r="R108" s="2"/>
      <c r="S108" s="2"/>
      <c r="T108" s="2"/>
      <c r="U108" s="16"/>
    </row>
    <row r="109" spans="1:21" x14ac:dyDescent="0.35">
      <c r="A109" s="15" t="s">
        <v>506</v>
      </c>
      <c r="B109" s="2" t="s">
        <v>2</v>
      </c>
      <c r="C109" s="2" t="s">
        <v>3</v>
      </c>
      <c r="D109" s="2" t="s">
        <v>507</v>
      </c>
      <c r="E109" s="2">
        <v>17.3</v>
      </c>
      <c r="F109" s="2">
        <v>-62.730899999999998</v>
      </c>
      <c r="G109" s="2" t="s">
        <v>510</v>
      </c>
      <c r="H109" s="2">
        <v>2023</v>
      </c>
      <c r="I109" s="2">
        <v>3.5571123084824299</v>
      </c>
      <c r="J109" s="2">
        <v>0</v>
      </c>
      <c r="K109" s="2" t="b">
        <v>1</v>
      </c>
      <c r="L109" s="2" t="b">
        <v>1</v>
      </c>
      <c r="M109" s="2"/>
      <c r="N109" s="2"/>
      <c r="O109" s="2"/>
      <c r="P109" s="2"/>
      <c r="Q109" s="2"/>
      <c r="R109" s="2"/>
      <c r="S109" s="2"/>
      <c r="T109" s="2"/>
      <c r="U109" s="16"/>
    </row>
    <row r="110" spans="1:21" x14ac:dyDescent="0.35">
      <c r="A110" s="15" t="s">
        <v>296</v>
      </c>
      <c r="B110" s="2" t="s">
        <v>22</v>
      </c>
      <c r="C110" s="2" t="s">
        <v>3</v>
      </c>
      <c r="D110" s="2" t="s">
        <v>297</v>
      </c>
      <c r="E110" s="2">
        <v>59.4392</v>
      </c>
      <c r="F110" s="2">
        <v>24.758600000000001</v>
      </c>
      <c r="G110" s="2" t="s">
        <v>300</v>
      </c>
      <c r="H110" s="2">
        <v>2024</v>
      </c>
      <c r="I110" s="2">
        <v>3.5194118998391999</v>
      </c>
      <c r="J110" s="2">
        <v>0</v>
      </c>
      <c r="K110" s="2" t="b">
        <v>1</v>
      </c>
      <c r="L110" s="2" t="b">
        <v>1</v>
      </c>
      <c r="M110" s="2"/>
      <c r="N110" s="2"/>
      <c r="O110" s="2"/>
      <c r="P110" s="2"/>
      <c r="Q110" s="2"/>
      <c r="R110" s="2"/>
      <c r="S110" s="2"/>
      <c r="T110" s="2"/>
      <c r="U110" s="16"/>
    </row>
    <row r="111" spans="1:21" x14ac:dyDescent="0.35">
      <c r="A111" s="15" t="s">
        <v>612</v>
      </c>
      <c r="B111" s="2" t="s">
        <v>22</v>
      </c>
      <c r="C111" s="2" t="s">
        <v>23</v>
      </c>
      <c r="D111" s="2" t="s">
        <v>613</v>
      </c>
      <c r="E111" s="2">
        <v>42.002400000000002</v>
      </c>
      <c r="F111" s="2">
        <v>21.4361</v>
      </c>
      <c r="G111" s="2" t="s">
        <v>616</v>
      </c>
      <c r="H111" s="2">
        <v>2024</v>
      </c>
      <c r="I111" s="2">
        <v>3.4897408602695399</v>
      </c>
      <c r="J111" s="2">
        <v>0</v>
      </c>
      <c r="K111" s="2" t="b">
        <v>1</v>
      </c>
      <c r="L111" s="2" t="b">
        <v>1</v>
      </c>
      <c r="M111" s="2"/>
      <c r="N111" s="2"/>
      <c r="O111" s="2"/>
      <c r="P111" s="2"/>
      <c r="Q111" s="2"/>
      <c r="R111" s="2"/>
      <c r="S111" s="2"/>
      <c r="T111" s="2"/>
      <c r="U111" s="16"/>
    </row>
    <row r="112" spans="1:21" x14ac:dyDescent="0.35">
      <c r="A112" s="15" t="s">
        <v>189</v>
      </c>
      <c r="B112" s="2" t="s">
        <v>15</v>
      </c>
      <c r="C112" s="2" t="s">
        <v>16</v>
      </c>
      <c r="D112" s="2" t="s">
        <v>190</v>
      </c>
      <c r="E112" s="2">
        <v>5.3319999999999999</v>
      </c>
      <c r="F112" s="2">
        <v>-4.0305</v>
      </c>
      <c r="G112" s="2" t="s">
        <v>193</v>
      </c>
      <c r="H112" s="2">
        <v>2024</v>
      </c>
      <c r="I112" s="2">
        <v>3.4505302813101899</v>
      </c>
      <c r="J112" s="2">
        <v>0</v>
      </c>
      <c r="K112" s="2" t="b">
        <v>1</v>
      </c>
      <c r="L112" s="2" t="b">
        <v>1</v>
      </c>
      <c r="M112" s="2"/>
      <c r="N112" s="2"/>
      <c r="O112" s="2"/>
      <c r="P112" s="2"/>
      <c r="Q112" s="2"/>
      <c r="R112" s="2"/>
      <c r="S112" s="2"/>
      <c r="T112" s="2"/>
      <c r="U112" s="16"/>
    </row>
    <row r="113" spans="1:21" x14ac:dyDescent="0.35">
      <c r="A113" s="15" t="s">
        <v>694</v>
      </c>
      <c r="B113" s="2" t="s">
        <v>22</v>
      </c>
      <c r="C113" s="2" t="s">
        <v>3</v>
      </c>
      <c r="D113" s="2" t="s">
        <v>695</v>
      </c>
      <c r="E113" s="2">
        <v>52.373800000000003</v>
      </c>
      <c r="F113" s="2">
        <v>4.8909500000000001</v>
      </c>
      <c r="G113" s="2" t="s">
        <v>698</v>
      </c>
      <c r="H113" s="2">
        <v>2024</v>
      </c>
      <c r="I113" s="2">
        <v>3.34754304219953</v>
      </c>
      <c r="J113" s="2">
        <v>0</v>
      </c>
      <c r="K113" s="2" t="b">
        <v>1</v>
      </c>
      <c r="L113" s="2" t="b">
        <v>1</v>
      </c>
      <c r="M113" s="2"/>
      <c r="N113" s="2"/>
      <c r="O113" s="2"/>
      <c r="P113" s="2"/>
      <c r="Q113" s="2"/>
      <c r="R113" s="2">
        <v>5.67</v>
      </c>
      <c r="S113" s="2">
        <v>139.68</v>
      </c>
      <c r="T113" s="2"/>
      <c r="U113" s="16"/>
    </row>
    <row r="114" spans="1:21" x14ac:dyDescent="0.35">
      <c r="A114" s="15" t="s">
        <v>631</v>
      </c>
      <c r="B114" s="2" t="s">
        <v>22</v>
      </c>
      <c r="C114" s="2" t="s">
        <v>23</v>
      </c>
      <c r="D114" s="2" t="s">
        <v>632</v>
      </c>
      <c r="E114" s="2">
        <v>42.4602</v>
      </c>
      <c r="F114" s="2">
        <v>19.259499999999999</v>
      </c>
      <c r="G114" s="2" t="s">
        <v>635</v>
      </c>
      <c r="H114" s="2">
        <v>2024</v>
      </c>
      <c r="I114" s="2">
        <v>3.3367500928228102</v>
      </c>
      <c r="J114" s="2">
        <v>0</v>
      </c>
      <c r="K114" s="2" t="b">
        <v>1</v>
      </c>
      <c r="L114" s="2" t="b">
        <v>1</v>
      </c>
      <c r="M114" s="2"/>
      <c r="N114" s="2"/>
      <c r="O114" s="2"/>
      <c r="P114" s="2"/>
      <c r="Q114" s="2"/>
      <c r="R114" s="2"/>
      <c r="S114" s="2"/>
      <c r="T114" s="2"/>
      <c r="U114" s="16"/>
    </row>
    <row r="115" spans="1:21" x14ac:dyDescent="0.35">
      <c r="A115" s="15" t="s">
        <v>955</v>
      </c>
      <c r="B115" s="2" t="s">
        <v>15</v>
      </c>
      <c r="C115" s="2" t="s">
        <v>9</v>
      </c>
      <c r="D115" s="2" t="s">
        <v>956</v>
      </c>
      <c r="E115" s="2">
        <v>0.31426900000000002</v>
      </c>
      <c r="F115" s="2">
        <v>32.572899999999997</v>
      </c>
      <c r="G115" s="2" t="s">
        <v>959</v>
      </c>
      <c r="H115" s="2">
        <v>2024</v>
      </c>
      <c r="I115" s="2">
        <v>3.32338033691819</v>
      </c>
      <c r="J115" s="2">
        <v>0</v>
      </c>
      <c r="K115" s="2" t="b">
        <v>1</v>
      </c>
      <c r="L115" s="2" t="b">
        <v>1</v>
      </c>
      <c r="M115" s="2"/>
      <c r="N115" s="2"/>
      <c r="O115" s="2"/>
      <c r="P115" s="2"/>
      <c r="Q115" s="2"/>
      <c r="R115" s="2"/>
      <c r="S115" s="2"/>
      <c r="T115" s="2"/>
      <c r="U115" s="16"/>
    </row>
    <row r="116" spans="1:21" x14ac:dyDescent="0.35">
      <c r="A116" s="15" t="s">
        <v>267</v>
      </c>
      <c r="B116" s="2" t="s">
        <v>2</v>
      </c>
      <c r="C116" s="2" t="s">
        <v>23</v>
      </c>
      <c r="D116" s="2" t="s">
        <v>268</v>
      </c>
      <c r="E116" s="2">
        <v>18.478999999999999</v>
      </c>
      <c r="F116" s="2">
        <v>-69.890799999999999</v>
      </c>
      <c r="G116" s="2" t="s">
        <v>271</v>
      </c>
      <c r="H116" s="2">
        <v>2024</v>
      </c>
      <c r="I116" s="2">
        <v>3.3022333895122702</v>
      </c>
      <c r="J116" s="2">
        <v>0</v>
      </c>
      <c r="K116" s="2" t="b">
        <v>1</v>
      </c>
      <c r="L116" s="2" t="b">
        <v>1</v>
      </c>
      <c r="M116" s="2"/>
      <c r="N116" s="2"/>
      <c r="O116" s="2"/>
      <c r="P116" s="2"/>
      <c r="Q116" s="2"/>
      <c r="R116" s="2"/>
      <c r="S116" s="2"/>
      <c r="T116" s="2"/>
      <c r="U116" s="16"/>
    </row>
    <row r="117" spans="1:21" x14ac:dyDescent="0.35">
      <c r="A117" s="15" t="s">
        <v>123</v>
      </c>
      <c r="B117" s="2" t="s">
        <v>2</v>
      </c>
      <c r="C117" s="2" t="s">
        <v>23</v>
      </c>
      <c r="D117" s="2" t="s">
        <v>124</v>
      </c>
      <c r="E117" s="2">
        <v>17.253399999999999</v>
      </c>
      <c r="F117" s="2">
        <v>-88.771299999999997</v>
      </c>
      <c r="G117" s="2" t="s">
        <v>127</v>
      </c>
      <c r="H117" s="2">
        <v>2024</v>
      </c>
      <c r="I117" s="2">
        <v>3.2895598595276798</v>
      </c>
      <c r="J117" s="2">
        <v>0</v>
      </c>
      <c r="K117" s="2" t="b">
        <v>1</v>
      </c>
      <c r="L117" s="2" t="b">
        <v>1</v>
      </c>
      <c r="M117" s="2"/>
      <c r="N117" s="2"/>
      <c r="O117" s="2"/>
      <c r="P117" s="2"/>
      <c r="Q117" s="2"/>
      <c r="R117" s="2"/>
      <c r="S117" s="2"/>
      <c r="T117" s="2"/>
      <c r="U117" s="16"/>
    </row>
    <row r="118" spans="1:21" x14ac:dyDescent="0.35">
      <c r="A118" s="15" t="s">
        <v>617</v>
      </c>
      <c r="B118" s="2" t="s">
        <v>15</v>
      </c>
      <c r="C118" s="2" t="s">
        <v>9</v>
      </c>
      <c r="D118" s="2" t="s">
        <v>618</v>
      </c>
      <c r="E118" s="2">
        <v>13.566700000000001</v>
      </c>
      <c r="F118" s="2">
        <v>-7.5003399999999996</v>
      </c>
      <c r="G118" s="2" t="s">
        <v>621</v>
      </c>
      <c r="H118" s="2">
        <v>2024</v>
      </c>
      <c r="I118" s="2">
        <v>3.2063986409965999</v>
      </c>
      <c r="J118" s="2">
        <v>0</v>
      </c>
      <c r="K118" s="2" t="b">
        <v>1</v>
      </c>
      <c r="L118" s="2" t="b">
        <v>1</v>
      </c>
      <c r="M118" s="2"/>
      <c r="N118" s="2"/>
      <c r="O118" s="2"/>
      <c r="P118" s="2"/>
      <c r="Q118" s="2"/>
      <c r="R118" s="2"/>
      <c r="S118" s="2"/>
      <c r="T118" s="2"/>
      <c r="U118" s="16"/>
    </row>
    <row r="119" spans="1:21" x14ac:dyDescent="0.35">
      <c r="A119" s="15" t="s">
        <v>926</v>
      </c>
      <c r="B119" s="2" t="s">
        <v>48</v>
      </c>
      <c r="C119" s="2" t="s">
        <v>23</v>
      </c>
      <c r="D119" s="2" t="s">
        <v>927</v>
      </c>
      <c r="E119" s="2">
        <v>-21.135999999999999</v>
      </c>
      <c r="F119" s="2">
        <v>-175.21600000000001</v>
      </c>
      <c r="G119" s="2" t="s">
        <v>930</v>
      </c>
      <c r="H119" s="2">
        <v>2024</v>
      </c>
      <c r="I119" s="2">
        <v>3.1818892423747198</v>
      </c>
      <c r="J119" s="2">
        <v>0</v>
      </c>
      <c r="K119" s="2" t="b">
        <v>1</v>
      </c>
      <c r="L119" s="2" t="b">
        <v>1</v>
      </c>
      <c r="M119" s="2"/>
      <c r="N119" s="2"/>
      <c r="O119" s="2"/>
      <c r="P119" s="2"/>
      <c r="Q119" s="2"/>
      <c r="R119" s="2"/>
      <c r="S119" s="2"/>
      <c r="T119" s="2"/>
      <c r="U119" s="16"/>
    </row>
    <row r="120" spans="1:21" x14ac:dyDescent="0.35">
      <c r="A120" s="15" t="s">
        <v>77</v>
      </c>
      <c r="B120" s="2" t="s">
        <v>22</v>
      </c>
      <c r="C120" s="2" t="s">
        <v>3</v>
      </c>
      <c r="D120" s="2" t="s">
        <v>78</v>
      </c>
      <c r="E120" s="2">
        <v>50.8371</v>
      </c>
      <c r="F120" s="2">
        <v>4.36761</v>
      </c>
      <c r="G120" s="2" t="s">
        <v>81</v>
      </c>
      <c r="H120" s="2">
        <v>2024</v>
      </c>
      <c r="I120" s="2">
        <v>3.1434913650004099</v>
      </c>
      <c r="J120" s="2">
        <v>0</v>
      </c>
      <c r="K120" s="2" t="b">
        <v>1</v>
      </c>
      <c r="L120" s="2" t="b">
        <v>1</v>
      </c>
      <c r="M120" s="2"/>
      <c r="N120" s="2"/>
      <c r="O120" s="2"/>
      <c r="P120" s="2"/>
      <c r="Q120" s="2"/>
      <c r="R120" s="2"/>
      <c r="S120" s="2"/>
      <c r="T120" s="2"/>
      <c r="U120" s="16"/>
    </row>
    <row r="121" spans="1:21" x14ac:dyDescent="0.35">
      <c r="A121" s="15" t="s">
        <v>203</v>
      </c>
      <c r="B121" s="2" t="s">
        <v>15</v>
      </c>
      <c r="C121" s="2" t="s">
        <v>16</v>
      </c>
      <c r="D121" s="2" t="s">
        <v>204</v>
      </c>
      <c r="E121" s="2">
        <v>-4.2766999999999999</v>
      </c>
      <c r="F121" s="2">
        <v>15.2662</v>
      </c>
      <c r="G121" s="2" t="s">
        <v>207</v>
      </c>
      <c r="H121" s="2">
        <v>2024</v>
      </c>
      <c r="I121" s="2">
        <v>3.0914363091916601</v>
      </c>
      <c r="J121" s="2">
        <v>0</v>
      </c>
      <c r="K121" s="2" t="b">
        <v>1</v>
      </c>
      <c r="L121" s="2" t="b">
        <v>1</v>
      </c>
      <c r="M121" s="2"/>
      <c r="N121" s="2"/>
      <c r="O121" s="2"/>
      <c r="P121" s="2"/>
      <c r="Q121" s="2"/>
      <c r="R121" s="2"/>
      <c r="S121" s="2"/>
      <c r="T121" s="2"/>
      <c r="U121" s="16"/>
    </row>
    <row r="122" spans="1:21" x14ac:dyDescent="0.35">
      <c r="A122" s="15" t="s">
        <v>457</v>
      </c>
      <c r="B122" s="2" t="s">
        <v>8</v>
      </c>
      <c r="C122" s="2" t="s">
        <v>3</v>
      </c>
      <c r="D122" s="2"/>
      <c r="E122" s="2">
        <v>31.771699999999999</v>
      </c>
      <c r="F122" s="2">
        <v>35.203499999999998</v>
      </c>
      <c r="G122" s="2" t="s">
        <v>460</v>
      </c>
      <c r="H122" s="2">
        <v>2024</v>
      </c>
      <c r="I122" s="2">
        <v>3.0748088980502501</v>
      </c>
      <c r="J122" s="2">
        <v>0</v>
      </c>
      <c r="K122" s="2" t="b">
        <v>1</v>
      </c>
      <c r="L122" s="2" t="b">
        <v>1</v>
      </c>
      <c r="M122" s="2"/>
      <c r="N122" s="2"/>
      <c r="O122" s="2"/>
      <c r="P122" s="2"/>
      <c r="Q122" s="2"/>
      <c r="R122" s="2"/>
      <c r="S122" s="2"/>
      <c r="T122" s="2"/>
      <c r="U122" s="16"/>
    </row>
    <row r="123" spans="1:21" x14ac:dyDescent="0.35">
      <c r="A123" s="15" t="s">
        <v>950</v>
      </c>
      <c r="B123" s="2" t="s">
        <v>15</v>
      </c>
      <c r="C123" s="2" t="s">
        <v>16</v>
      </c>
      <c r="D123" s="2" t="s">
        <v>951</v>
      </c>
      <c r="E123" s="2">
        <v>-6.1748599999999998</v>
      </c>
      <c r="F123" s="2">
        <v>35.738199999999999</v>
      </c>
      <c r="G123" s="2" t="s">
        <v>954</v>
      </c>
      <c r="H123" s="2">
        <v>2024</v>
      </c>
      <c r="I123" s="2">
        <v>3.0569467631237299</v>
      </c>
      <c r="J123" s="2">
        <v>0</v>
      </c>
      <c r="K123" s="2" t="b">
        <v>1</v>
      </c>
      <c r="L123" s="2" t="b">
        <v>1</v>
      </c>
      <c r="M123" s="2"/>
      <c r="N123" s="2"/>
      <c r="O123" s="2"/>
      <c r="P123" s="2"/>
      <c r="Q123" s="2"/>
      <c r="R123" s="2"/>
      <c r="S123" s="2"/>
      <c r="T123" s="2"/>
      <c r="U123" s="16"/>
    </row>
    <row r="124" spans="1:21" x14ac:dyDescent="0.35">
      <c r="A124" s="15" t="s">
        <v>408</v>
      </c>
      <c r="B124" s="2" t="s">
        <v>22</v>
      </c>
      <c r="C124" s="2" t="s">
        <v>3</v>
      </c>
      <c r="D124" s="2" t="s">
        <v>409</v>
      </c>
      <c r="E124" s="2">
        <v>45.806899999999999</v>
      </c>
      <c r="F124" s="2">
        <v>15.961399999999999</v>
      </c>
      <c r="G124" s="2" t="s">
        <v>412</v>
      </c>
      <c r="H124" s="2">
        <v>2024</v>
      </c>
      <c r="I124" s="2">
        <v>2.9720047764362598</v>
      </c>
      <c r="J124" s="2">
        <v>0</v>
      </c>
      <c r="K124" s="2" t="b">
        <v>1</v>
      </c>
      <c r="L124" s="2" t="b">
        <v>1</v>
      </c>
      <c r="M124" s="2"/>
      <c r="N124" s="2"/>
      <c r="O124" s="2"/>
      <c r="P124" s="2"/>
      <c r="Q124" s="2"/>
      <c r="R124" s="2"/>
      <c r="S124" s="2"/>
      <c r="T124" s="2"/>
      <c r="U124" s="16"/>
    </row>
    <row r="125" spans="1:21" x14ac:dyDescent="0.35">
      <c r="A125" s="15" t="s">
        <v>62</v>
      </c>
      <c r="B125" s="2" t="s">
        <v>22</v>
      </c>
      <c r="C125" s="2" t="s">
        <v>3</v>
      </c>
      <c r="D125" s="2" t="s">
        <v>63</v>
      </c>
      <c r="E125" s="2">
        <v>48.220100000000002</v>
      </c>
      <c r="F125" s="2">
        <v>16.379799999999999</v>
      </c>
      <c r="G125" s="2" t="s">
        <v>66</v>
      </c>
      <c r="H125" s="2">
        <v>2024</v>
      </c>
      <c r="I125" s="2">
        <v>2.9379157427937601</v>
      </c>
      <c r="J125" s="2">
        <v>0</v>
      </c>
      <c r="K125" s="2" t="b">
        <v>1</v>
      </c>
      <c r="L125" s="2" t="b">
        <v>1</v>
      </c>
      <c r="M125" s="2"/>
      <c r="N125" s="2"/>
      <c r="O125" s="2"/>
      <c r="P125" s="2"/>
      <c r="Q125" s="2"/>
      <c r="R125" s="2"/>
      <c r="S125" s="2"/>
      <c r="T125" s="2"/>
      <c r="U125" s="16"/>
    </row>
    <row r="126" spans="1:21" x14ac:dyDescent="0.35">
      <c r="A126" s="15" t="s">
        <v>366</v>
      </c>
      <c r="B126" s="2" t="s">
        <v>15</v>
      </c>
      <c r="C126" s="2" t="s">
        <v>23</v>
      </c>
      <c r="D126" s="2" t="s">
        <v>367</v>
      </c>
      <c r="E126" s="2">
        <v>3.7523</v>
      </c>
      <c r="F126" s="2">
        <v>8.7741000000000007</v>
      </c>
      <c r="G126" s="2" t="s">
        <v>370</v>
      </c>
      <c r="H126" s="2">
        <v>2024</v>
      </c>
      <c r="I126" s="2">
        <v>2.9214022730910298</v>
      </c>
      <c r="J126" s="2">
        <v>0</v>
      </c>
      <c r="K126" s="2" t="b">
        <v>1</v>
      </c>
      <c r="L126" s="2" t="b">
        <v>1</v>
      </c>
      <c r="M126" s="2"/>
      <c r="N126" s="2"/>
      <c r="O126" s="2"/>
      <c r="P126" s="2"/>
      <c r="Q126" s="2"/>
      <c r="R126" s="2"/>
      <c r="S126" s="2"/>
      <c r="T126" s="2"/>
      <c r="U126" s="16"/>
    </row>
    <row r="127" spans="1:21" x14ac:dyDescent="0.35">
      <c r="A127" s="15" t="s">
        <v>394</v>
      </c>
      <c r="B127" s="2" t="s">
        <v>2</v>
      </c>
      <c r="C127" s="2" t="s">
        <v>3</v>
      </c>
      <c r="D127" s="2" t="s">
        <v>395</v>
      </c>
      <c r="E127" s="2">
        <v>6.8046100000000003</v>
      </c>
      <c r="F127" s="2">
        <v>-58.154800000000002</v>
      </c>
      <c r="G127" s="2" t="s">
        <v>398</v>
      </c>
      <c r="H127" s="2">
        <v>2024</v>
      </c>
      <c r="I127" s="2">
        <v>2.90379501424778</v>
      </c>
      <c r="J127" s="2">
        <v>0</v>
      </c>
      <c r="K127" s="2" t="b">
        <v>1</v>
      </c>
      <c r="L127" s="2" t="b">
        <v>1</v>
      </c>
      <c r="M127" s="2"/>
      <c r="N127" s="2"/>
      <c r="O127" s="2"/>
      <c r="P127" s="2"/>
      <c r="Q127" s="2"/>
      <c r="R127" s="2"/>
      <c r="S127" s="2"/>
      <c r="T127" s="2"/>
      <c r="U127" s="16"/>
    </row>
    <row r="128" spans="1:21" x14ac:dyDescent="0.35">
      <c r="A128" s="15" t="s">
        <v>385</v>
      </c>
      <c r="B128" s="2" t="s">
        <v>2</v>
      </c>
      <c r="C128" s="2" t="s">
        <v>23</v>
      </c>
      <c r="D128" s="2" t="s">
        <v>386</v>
      </c>
      <c r="E128" s="2">
        <v>14.6248</v>
      </c>
      <c r="F128" s="2">
        <v>-90.532799999999995</v>
      </c>
      <c r="G128" s="2" t="s">
        <v>389</v>
      </c>
      <c r="H128" s="2">
        <v>2024</v>
      </c>
      <c r="I128" s="2">
        <v>2.8699275291829398</v>
      </c>
      <c r="J128" s="2">
        <v>0</v>
      </c>
      <c r="K128" s="2" t="b">
        <v>1</v>
      </c>
      <c r="L128" s="2" t="b">
        <v>1</v>
      </c>
      <c r="M128" s="2"/>
      <c r="N128" s="2"/>
      <c r="O128" s="2"/>
      <c r="P128" s="2"/>
      <c r="Q128" s="2"/>
      <c r="R128" s="2"/>
      <c r="S128" s="2"/>
      <c r="T128" s="2"/>
      <c r="U128" s="16"/>
    </row>
    <row r="129" spans="1:21" x14ac:dyDescent="0.35">
      <c r="A129" s="15" t="s">
        <v>903</v>
      </c>
      <c r="B129" s="2" t="s">
        <v>15</v>
      </c>
      <c r="C129" s="2" t="s">
        <v>16</v>
      </c>
      <c r="D129" s="2" t="s">
        <v>904</v>
      </c>
      <c r="E129" s="2">
        <v>6.1227999999999998</v>
      </c>
      <c r="F129" s="2">
        <v>1.2255</v>
      </c>
      <c r="G129" s="2" t="s">
        <v>907</v>
      </c>
      <c r="H129" s="2">
        <v>2024</v>
      </c>
      <c r="I129" s="2">
        <v>2.8626207408980102</v>
      </c>
      <c r="J129" s="2">
        <v>0</v>
      </c>
      <c r="K129" s="2" t="b">
        <v>1</v>
      </c>
      <c r="L129" s="2" t="b">
        <v>1</v>
      </c>
      <c r="M129" s="2"/>
      <c r="N129" s="2"/>
      <c r="O129" s="2"/>
      <c r="P129" s="2"/>
      <c r="Q129" s="2"/>
      <c r="R129" s="2"/>
      <c r="S129" s="2"/>
      <c r="T129" s="2"/>
      <c r="U129" s="16"/>
    </row>
    <row r="130" spans="1:21" x14ac:dyDescent="0.35">
      <c r="A130" s="15" t="s">
        <v>874</v>
      </c>
      <c r="B130" s="2" t="s">
        <v>22</v>
      </c>
      <c r="C130" s="2" t="s">
        <v>3</v>
      </c>
      <c r="D130" s="2" t="s">
        <v>875</v>
      </c>
      <c r="E130" s="2">
        <v>59.332700000000003</v>
      </c>
      <c r="F130" s="2">
        <v>18.064499999999999</v>
      </c>
      <c r="G130" s="2" t="s">
        <v>878</v>
      </c>
      <c r="H130" s="2">
        <v>2024</v>
      </c>
      <c r="I130" s="2">
        <v>2.8358165822403398</v>
      </c>
      <c r="J130" s="2">
        <v>0</v>
      </c>
      <c r="K130" s="2" t="b">
        <v>1</v>
      </c>
      <c r="L130" s="2" t="b">
        <v>1</v>
      </c>
      <c r="M130" s="2"/>
      <c r="N130" s="2"/>
      <c r="O130" s="2"/>
      <c r="P130" s="2"/>
      <c r="Q130" s="2"/>
      <c r="R130" s="2">
        <v>5.28</v>
      </c>
      <c r="S130" s="2">
        <v>122.4</v>
      </c>
      <c r="T130" s="2"/>
      <c r="U130" s="16"/>
    </row>
    <row r="131" spans="1:21" x14ac:dyDescent="0.35">
      <c r="A131" s="15" t="s">
        <v>158</v>
      </c>
      <c r="B131" s="2" t="s">
        <v>15</v>
      </c>
      <c r="C131" s="2" t="s">
        <v>23</v>
      </c>
      <c r="D131" s="2" t="s">
        <v>159</v>
      </c>
      <c r="E131" s="2">
        <v>-24.654399999999999</v>
      </c>
      <c r="F131" s="2">
        <v>25.920100000000001</v>
      </c>
      <c r="G131" s="2" t="s">
        <v>162</v>
      </c>
      <c r="H131" s="2">
        <v>2024</v>
      </c>
      <c r="I131" s="2">
        <v>2.8183513167625098</v>
      </c>
      <c r="J131" s="2">
        <v>0</v>
      </c>
      <c r="K131" s="2" t="b">
        <v>1</v>
      </c>
      <c r="L131" s="2" t="b">
        <v>1</v>
      </c>
      <c r="M131" s="2"/>
      <c r="N131" s="2"/>
      <c r="O131" s="2"/>
      <c r="P131" s="2"/>
      <c r="Q131" s="2"/>
      <c r="R131" s="2"/>
      <c r="S131" s="2"/>
      <c r="T131" s="2"/>
      <c r="U131" s="16"/>
    </row>
    <row r="132" spans="1:21" x14ac:dyDescent="0.35">
      <c r="A132" s="15" t="s">
        <v>153</v>
      </c>
      <c r="B132" s="2" t="s">
        <v>93</v>
      </c>
      <c r="C132" s="2" t="s">
        <v>16</v>
      </c>
      <c r="D132" s="2" t="s">
        <v>154</v>
      </c>
      <c r="E132" s="2">
        <v>27.576799999999999</v>
      </c>
      <c r="F132" s="2">
        <v>89.617699999999999</v>
      </c>
      <c r="G132" s="2" t="s">
        <v>157</v>
      </c>
      <c r="H132" s="2">
        <v>2024</v>
      </c>
      <c r="I132" s="2">
        <v>2.7613156962409802</v>
      </c>
      <c r="J132" s="2">
        <v>0</v>
      </c>
      <c r="K132" s="2" t="b">
        <v>1</v>
      </c>
      <c r="L132" s="2" t="b">
        <v>1</v>
      </c>
      <c r="M132" s="2"/>
      <c r="N132" s="2"/>
      <c r="O132" s="2"/>
      <c r="P132" s="2"/>
      <c r="Q132" s="2"/>
      <c r="R132" s="2"/>
      <c r="S132" s="2"/>
      <c r="T132" s="2"/>
      <c r="U132" s="16"/>
    </row>
    <row r="133" spans="1:21" x14ac:dyDescent="0.35">
      <c r="A133" s="15" t="s">
        <v>864</v>
      </c>
      <c r="B133" s="2" t="s">
        <v>22</v>
      </c>
      <c r="C133" s="2" t="s">
        <v>3</v>
      </c>
      <c r="D133" s="2" t="s">
        <v>865</v>
      </c>
      <c r="E133" s="2">
        <v>48.148400000000002</v>
      </c>
      <c r="F133" s="2">
        <v>17.107299999999999</v>
      </c>
      <c r="G133" s="2" t="s">
        <v>868</v>
      </c>
      <c r="H133" s="2">
        <v>2024</v>
      </c>
      <c r="I133" s="2">
        <v>2.75760909424279</v>
      </c>
      <c r="J133" s="2">
        <v>0</v>
      </c>
      <c r="K133" s="2" t="b">
        <v>1</v>
      </c>
      <c r="L133" s="2" t="b">
        <v>1</v>
      </c>
      <c r="M133" s="2"/>
      <c r="N133" s="2"/>
      <c r="O133" s="2"/>
      <c r="P133" s="2"/>
      <c r="Q133" s="2"/>
      <c r="R133" s="2"/>
      <c r="S133" s="2"/>
      <c r="T133" s="2"/>
      <c r="U133" s="16"/>
    </row>
    <row r="134" spans="1:21" x14ac:dyDescent="0.35">
      <c r="A134" s="15" t="s">
        <v>257</v>
      </c>
      <c r="B134" s="2" t="s">
        <v>2</v>
      </c>
      <c r="C134" s="2" t="s">
        <v>23</v>
      </c>
      <c r="D134" s="2" t="s">
        <v>258</v>
      </c>
      <c r="E134" s="2">
        <v>15.297599999999999</v>
      </c>
      <c r="F134" s="2">
        <v>-61.39</v>
      </c>
      <c r="G134" s="2" t="s">
        <v>261</v>
      </c>
      <c r="H134" s="2">
        <v>2024</v>
      </c>
      <c r="I134" s="2">
        <v>2.7362075187331301</v>
      </c>
      <c r="J134" s="2">
        <v>0</v>
      </c>
      <c r="K134" s="2" t="b">
        <v>1</v>
      </c>
      <c r="L134" s="2" t="b">
        <v>1</v>
      </c>
      <c r="M134" s="2"/>
      <c r="N134" s="2"/>
      <c r="O134" s="2"/>
      <c r="P134" s="2"/>
      <c r="Q134" s="2"/>
      <c r="R134" s="2"/>
      <c r="S134" s="2"/>
      <c r="T134" s="2"/>
      <c r="U134" s="16"/>
    </row>
    <row r="135" spans="1:21" x14ac:dyDescent="0.35">
      <c r="A135" s="15" t="s">
        <v>447</v>
      </c>
      <c r="B135" s="2" t="s">
        <v>8</v>
      </c>
      <c r="C135" s="2" t="s">
        <v>23</v>
      </c>
      <c r="D135" s="2" t="s">
        <v>448</v>
      </c>
      <c r="E135" s="2">
        <v>33.330199999999998</v>
      </c>
      <c r="F135" s="2">
        <v>44.393999999999998</v>
      </c>
      <c r="G135" s="2" t="s">
        <v>451</v>
      </c>
      <c r="H135" s="2">
        <v>2024</v>
      </c>
      <c r="I135" s="2">
        <v>2.6116961151764002</v>
      </c>
      <c r="J135" s="2">
        <v>0</v>
      </c>
      <c r="K135" s="2" t="b">
        <v>1</v>
      </c>
      <c r="L135" s="2" t="b">
        <v>1</v>
      </c>
      <c r="M135" s="2"/>
      <c r="N135" s="2"/>
      <c r="O135" s="2"/>
      <c r="P135" s="2"/>
      <c r="Q135" s="2"/>
      <c r="R135" s="2"/>
      <c r="S135" s="2"/>
      <c r="T135" s="2"/>
      <c r="U135" s="16"/>
    </row>
    <row r="136" spans="1:21" x14ac:dyDescent="0.35">
      <c r="A136" s="15" t="s">
        <v>650</v>
      </c>
      <c r="B136" s="2" t="s">
        <v>15</v>
      </c>
      <c r="C136" s="2" t="s">
        <v>16</v>
      </c>
      <c r="D136" s="2" t="s">
        <v>651</v>
      </c>
      <c r="E136" s="2">
        <v>18.236699999999999</v>
      </c>
      <c r="F136" s="2">
        <v>-15.9824</v>
      </c>
      <c r="G136" s="2" t="s">
        <v>654</v>
      </c>
      <c r="H136" s="2">
        <v>2024</v>
      </c>
      <c r="I136" s="2">
        <v>2.4916434748197198</v>
      </c>
      <c r="J136" s="2">
        <v>0</v>
      </c>
      <c r="K136" s="2" t="b">
        <v>1</v>
      </c>
      <c r="L136" s="2" t="b">
        <v>1</v>
      </c>
      <c r="M136" s="2"/>
      <c r="N136" s="2"/>
      <c r="O136" s="2"/>
      <c r="P136" s="2"/>
      <c r="Q136" s="2"/>
      <c r="R136" s="2"/>
      <c r="S136" s="2"/>
      <c r="T136" s="2"/>
      <c r="U136" s="16"/>
    </row>
    <row r="137" spans="1:21" x14ac:dyDescent="0.35">
      <c r="A137" s="15" t="s">
        <v>501</v>
      </c>
      <c r="B137" s="2" t="s">
        <v>48</v>
      </c>
      <c r="C137" s="2" t="s">
        <v>16</v>
      </c>
      <c r="D137" s="2" t="s">
        <v>502</v>
      </c>
      <c r="E137" s="2">
        <v>1.3290500000000001</v>
      </c>
      <c r="F137" s="2">
        <v>172.97900000000001</v>
      </c>
      <c r="G137" s="2" t="s">
        <v>505</v>
      </c>
      <c r="H137" s="2">
        <v>2024</v>
      </c>
      <c r="I137" s="2">
        <v>2.4554507215902799</v>
      </c>
      <c r="J137" s="2">
        <v>0</v>
      </c>
      <c r="K137" s="2" t="b">
        <v>1</v>
      </c>
      <c r="L137" s="2" t="b">
        <v>1</v>
      </c>
      <c r="M137" s="2"/>
      <c r="N137" s="2"/>
      <c r="O137" s="2"/>
      <c r="P137" s="2"/>
      <c r="Q137" s="2"/>
      <c r="R137" s="2"/>
      <c r="S137" s="2"/>
      <c r="T137" s="2"/>
      <c r="U137" s="16"/>
    </row>
    <row r="138" spans="1:21" x14ac:dyDescent="0.35">
      <c r="A138" s="15" t="s">
        <v>98</v>
      </c>
      <c r="B138" s="2" t="s">
        <v>22</v>
      </c>
      <c r="C138" s="2" t="s">
        <v>3</v>
      </c>
      <c r="D138" s="2" t="s">
        <v>99</v>
      </c>
      <c r="E138" s="2">
        <v>42.710500000000003</v>
      </c>
      <c r="F138" s="2">
        <v>23.323799999999999</v>
      </c>
      <c r="G138" s="2" t="s">
        <v>102</v>
      </c>
      <c r="H138" s="2">
        <v>2024</v>
      </c>
      <c r="I138" s="2">
        <v>2.44651943006079</v>
      </c>
      <c r="J138" s="2">
        <v>0</v>
      </c>
      <c r="K138" s="2" t="b">
        <v>1</v>
      </c>
      <c r="L138" s="2" t="b">
        <v>1</v>
      </c>
      <c r="M138" s="2"/>
      <c r="N138" s="2"/>
      <c r="O138" s="2"/>
      <c r="P138" s="2"/>
      <c r="Q138" s="2"/>
      <c r="R138" s="2"/>
      <c r="S138" s="2"/>
      <c r="T138" s="2"/>
      <c r="U138" s="16"/>
    </row>
    <row r="139" spans="1:21" x14ac:dyDescent="0.35">
      <c r="A139" s="15" t="s">
        <v>243</v>
      </c>
      <c r="B139" s="2" t="s">
        <v>22</v>
      </c>
      <c r="C139" s="2" t="s">
        <v>3</v>
      </c>
      <c r="D139" s="2" t="s">
        <v>244</v>
      </c>
      <c r="E139" s="2">
        <v>50.087800000000001</v>
      </c>
      <c r="F139" s="2">
        <v>14.420500000000001</v>
      </c>
      <c r="G139" s="2" t="s">
        <v>247</v>
      </c>
      <c r="H139" s="2">
        <v>2024</v>
      </c>
      <c r="I139" s="2">
        <v>2.4353120243531401</v>
      </c>
      <c r="J139" s="2">
        <v>0</v>
      </c>
      <c r="K139" s="2" t="b">
        <v>1</v>
      </c>
      <c r="L139" s="2" t="b">
        <v>1</v>
      </c>
      <c r="M139" s="2"/>
      <c r="N139" s="2"/>
      <c r="O139" s="2"/>
      <c r="P139" s="2"/>
      <c r="Q139" s="2"/>
      <c r="R139" s="2"/>
      <c r="S139" s="2"/>
      <c r="T139" s="2"/>
      <c r="U139" s="16"/>
    </row>
    <row r="140" spans="1:21" x14ac:dyDescent="0.35">
      <c r="A140" s="15" t="s">
        <v>511</v>
      </c>
      <c r="B140" s="2" t="s">
        <v>48</v>
      </c>
      <c r="C140" s="2" t="s">
        <v>3</v>
      </c>
      <c r="D140" s="2" t="s">
        <v>512</v>
      </c>
      <c r="E140" s="2">
        <v>37.532299999999999</v>
      </c>
      <c r="F140" s="2">
        <v>126.95699999999999</v>
      </c>
      <c r="G140" s="2" t="s">
        <v>515</v>
      </c>
      <c r="H140" s="2">
        <v>2024</v>
      </c>
      <c r="I140" s="2">
        <v>2.3217432864354199</v>
      </c>
      <c r="J140" s="2">
        <v>0</v>
      </c>
      <c r="K140" s="2" t="b">
        <v>1</v>
      </c>
      <c r="L140" s="2" t="b">
        <v>1</v>
      </c>
      <c r="M140" s="2"/>
      <c r="N140" s="2"/>
      <c r="O140" s="2"/>
      <c r="P140" s="2"/>
      <c r="Q140" s="2"/>
      <c r="R140" s="2"/>
      <c r="S140" s="2"/>
      <c r="T140" s="2"/>
      <c r="U140" s="16"/>
    </row>
    <row r="141" spans="1:21" x14ac:dyDescent="0.35">
      <c r="A141" s="15" t="s">
        <v>743</v>
      </c>
      <c r="B141" s="2" t="s">
        <v>48</v>
      </c>
      <c r="C141" s="2" t="s">
        <v>3</v>
      </c>
      <c r="D141" s="2" t="s">
        <v>744</v>
      </c>
      <c r="E141" s="2">
        <v>7.3419400000000001</v>
      </c>
      <c r="F141" s="2">
        <v>134.47900000000001</v>
      </c>
      <c r="G141" s="2" t="s">
        <v>747</v>
      </c>
      <c r="H141" s="2">
        <v>2024</v>
      </c>
      <c r="I141" s="2">
        <v>2.2317277292170399</v>
      </c>
      <c r="J141" s="2">
        <v>0</v>
      </c>
      <c r="K141" s="2" t="b">
        <v>1</v>
      </c>
      <c r="L141" s="2" t="b">
        <v>1</v>
      </c>
      <c r="M141" s="2"/>
      <c r="N141" s="2"/>
      <c r="O141" s="2"/>
      <c r="P141" s="2"/>
      <c r="Q141" s="2"/>
      <c r="R141" s="2"/>
      <c r="S141" s="2"/>
      <c r="T141" s="2"/>
      <c r="U141" s="16"/>
    </row>
    <row r="142" spans="1:21" x14ac:dyDescent="0.35">
      <c r="A142" s="15" t="s">
        <v>21</v>
      </c>
      <c r="B142" s="2" t="s">
        <v>22</v>
      </c>
      <c r="C142" s="2" t="s">
        <v>23</v>
      </c>
      <c r="D142" s="2" t="s">
        <v>24</v>
      </c>
      <c r="E142" s="2">
        <v>41.331699999999998</v>
      </c>
      <c r="F142" s="2">
        <v>19.8172</v>
      </c>
      <c r="G142" s="2" t="s">
        <v>27</v>
      </c>
      <c r="H142" s="2">
        <v>2024</v>
      </c>
      <c r="I142" s="2">
        <v>2.2158737508999198</v>
      </c>
      <c r="J142" s="2">
        <v>0</v>
      </c>
      <c r="K142" s="2" t="b">
        <v>1</v>
      </c>
      <c r="L142" s="2" t="b">
        <v>1</v>
      </c>
      <c r="M142" s="2"/>
      <c r="N142" s="2"/>
      <c r="O142" s="2"/>
      <c r="P142" s="2"/>
      <c r="Q142" s="2"/>
      <c r="R142" s="2"/>
      <c r="S142" s="2"/>
      <c r="T142" s="2"/>
      <c r="U142" s="16"/>
    </row>
    <row r="143" spans="1:21" x14ac:dyDescent="0.35">
      <c r="A143" s="15" t="s">
        <v>67</v>
      </c>
      <c r="B143" s="2" t="s">
        <v>22</v>
      </c>
      <c r="C143" s="2" t="s">
        <v>23</v>
      </c>
      <c r="D143" s="2" t="s">
        <v>68</v>
      </c>
      <c r="E143" s="2">
        <v>40.383400000000002</v>
      </c>
      <c r="F143" s="2">
        <v>49.8932</v>
      </c>
      <c r="G143" s="2" t="s">
        <v>71</v>
      </c>
      <c r="H143" s="2">
        <v>2024</v>
      </c>
      <c r="I143" s="2">
        <v>2.2121718891990101</v>
      </c>
      <c r="J143" s="2">
        <v>0</v>
      </c>
      <c r="K143" s="2" t="b">
        <v>1</v>
      </c>
      <c r="L143" s="2" t="b">
        <v>1</v>
      </c>
      <c r="M143" s="2"/>
      <c r="N143" s="2"/>
      <c r="O143" s="2"/>
      <c r="P143" s="2"/>
      <c r="Q143" s="2">
        <v>0.46</v>
      </c>
      <c r="R143" s="2"/>
      <c r="S143" s="2"/>
      <c r="T143" s="2"/>
      <c r="U143" s="16"/>
    </row>
    <row r="144" spans="1:21" x14ac:dyDescent="0.35">
      <c r="A144" s="15" t="s">
        <v>1007</v>
      </c>
      <c r="B144" s="2" t="s">
        <v>48</v>
      </c>
      <c r="C144" s="2" t="s">
        <v>23</v>
      </c>
      <c r="D144" s="2" t="s">
        <v>1008</v>
      </c>
      <c r="E144" s="2">
        <v>-13.8314</v>
      </c>
      <c r="F144" s="2">
        <v>-171.75200000000001</v>
      </c>
      <c r="G144" s="2" t="s">
        <v>1011</v>
      </c>
      <c r="H144" s="2">
        <v>2024</v>
      </c>
      <c r="I144" s="2">
        <v>2.1724553051437701</v>
      </c>
      <c r="J144" s="2">
        <v>0</v>
      </c>
      <c r="K144" s="2" t="b">
        <v>1</v>
      </c>
      <c r="L144" s="2" t="b">
        <v>1</v>
      </c>
      <c r="M144" s="2"/>
      <c r="N144" s="2"/>
      <c r="O144" s="2"/>
      <c r="P144" s="2"/>
      <c r="Q144" s="2"/>
      <c r="R144" s="2"/>
      <c r="S144" s="2"/>
      <c r="T144" s="2"/>
      <c r="U144" s="16"/>
    </row>
    <row r="145" spans="1:21" x14ac:dyDescent="0.35">
      <c r="A145" s="15" t="s">
        <v>536</v>
      </c>
      <c r="B145" s="2" t="s">
        <v>8</v>
      </c>
      <c r="C145" s="2" t="s">
        <v>23</v>
      </c>
      <c r="D145" s="2" t="s">
        <v>537</v>
      </c>
      <c r="E145" s="2">
        <v>32.857799999999997</v>
      </c>
      <c r="F145" s="2">
        <v>13.107200000000001</v>
      </c>
      <c r="G145" s="2" t="s">
        <v>540</v>
      </c>
      <c r="H145" s="2">
        <v>2024</v>
      </c>
      <c r="I145" s="2">
        <v>2.12615766885021</v>
      </c>
      <c r="J145" s="2">
        <v>0</v>
      </c>
      <c r="K145" s="2" t="b">
        <v>1</v>
      </c>
      <c r="L145" s="2" t="b">
        <v>1</v>
      </c>
      <c r="M145" s="2"/>
      <c r="N145" s="2"/>
      <c r="O145" s="2"/>
      <c r="P145" s="2"/>
      <c r="Q145" s="2"/>
      <c r="R145" s="2"/>
      <c r="S145" s="2"/>
      <c r="T145" s="2"/>
      <c r="U145" s="16"/>
    </row>
    <row r="146" spans="1:21" x14ac:dyDescent="0.35">
      <c r="A146" s="15" t="s">
        <v>253</v>
      </c>
      <c r="B146" s="2" t="s">
        <v>8</v>
      </c>
      <c r="C146" s="2" t="s">
        <v>16</v>
      </c>
      <c r="D146" s="2" t="s">
        <v>253</v>
      </c>
      <c r="E146" s="2">
        <v>11.5806</v>
      </c>
      <c r="F146" s="2">
        <v>43.142499999999998</v>
      </c>
      <c r="G146" s="2" t="s">
        <v>256</v>
      </c>
      <c r="H146" s="2">
        <v>2024</v>
      </c>
      <c r="I146" s="2">
        <v>2.1120116728496998</v>
      </c>
      <c r="J146" s="2">
        <v>0</v>
      </c>
      <c r="K146" s="2" t="b">
        <v>1</v>
      </c>
      <c r="L146" s="2" t="b">
        <v>1</v>
      </c>
      <c r="M146" s="2"/>
      <c r="N146" s="2"/>
      <c r="O146" s="2"/>
      <c r="P146" s="2"/>
      <c r="Q146" s="2">
        <v>9.5299999999999994</v>
      </c>
      <c r="R146" s="2"/>
      <c r="S146" s="2"/>
      <c r="T146" s="2"/>
      <c r="U146" s="16"/>
    </row>
    <row r="147" spans="1:21" x14ac:dyDescent="0.35">
      <c r="A147" s="15" t="s">
        <v>921</v>
      </c>
      <c r="B147" s="2" t="s">
        <v>48</v>
      </c>
      <c r="C147" s="2" t="s">
        <v>16</v>
      </c>
      <c r="D147" s="2" t="s">
        <v>922</v>
      </c>
      <c r="E147" s="2">
        <v>-8.5666700000000002</v>
      </c>
      <c r="F147" s="2">
        <v>125.56699999999999</v>
      </c>
      <c r="G147" s="2" t="s">
        <v>925</v>
      </c>
      <c r="H147" s="2">
        <v>2024</v>
      </c>
      <c r="I147" s="2">
        <v>2.0628415300546799</v>
      </c>
      <c r="J147" s="2">
        <v>0</v>
      </c>
      <c r="K147" s="2" t="b">
        <v>1</v>
      </c>
      <c r="L147" s="2" t="b">
        <v>1</v>
      </c>
      <c r="M147" s="2"/>
      <c r="N147" s="2"/>
      <c r="O147" s="2"/>
      <c r="P147" s="2"/>
      <c r="Q147" s="2"/>
      <c r="R147" s="2"/>
      <c r="S147" s="2"/>
      <c r="T147" s="2"/>
      <c r="U147" s="16"/>
    </row>
    <row r="148" spans="1:21" x14ac:dyDescent="0.35">
      <c r="A148" s="15" t="s">
        <v>565</v>
      </c>
      <c r="B148" s="2" t="s">
        <v>22</v>
      </c>
      <c r="C148" s="2" t="s">
        <v>3</v>
      </c>
      <c r="D148" s="2" t="s">
        <v>565</v>
      </c>
      <c r="E148" s="2">
        <v>49.61</v>
      </c>
      <c r="F148" s="2">
        <v>6.1295999999999999</v>
      </c>
      <c r="G148" s="2" t="s">
        <v>568</v>
      </c>
      <c r="H148" s="2">
        <v>2024</v>
      </c>
      <c r="I148" s="2">
        <v>2.0511326995485901</v>
      </c>
      <c r="J148" s="2">
        <v>0</v>
      </c>
      <c r="K148" s="2" t="b">
        <v>1</v>
      </c>
      <c r="L148" s="2" t="b">
        <v>1</v>
      </c>
      <c r="M148" s="2"/>
      <c r="N148" s="2"/>
      <c r="O148" s="2"/>
      <c r="P148" s="2"/>
      <c r="Q148" s="2"/>
      <c r="R148" s="2"/>
      <c r="S148" s="2"/>
      <c r="T148" s="2"/>
      <c r="U148" s="16"/>
    </row>
    <row r="149" spans="1:21" x14ac:dyDescent="0.35">
      <c r="A149" s="15" t="s">
        <v>733</v>
      </c>
      <c r="B149" s="2" t="s">
        <v>2</v>
      </c>
      <c r="C149" s="2" t="s">
        <v>23</v>
      </c>
      <c r="D149" s="2" t="s">
        <v>734</v>
      </c>
      <c r="E149" s="2">
        <v>-12.0931</v>
      </c>
      <c r="F149" s="2">
        <v>-77.046499999999995</v>
      </c>
      <c r="G149" s="2" t="s">
        <v>737</v>
      </c>
      <c r="H149" s="2">
        <v>2024</v>
      </c>
      <c r="I149" s="2">
        <v>2.0077073941271202</v>
      </c>
      <c r="J149" s="2">
        <v>0</v>
      </c>
      <c r="K149" s="2" t="b">
        <v>1</v>
      </c>
      <c r="L149" s="2" t="b">
        <v>1</v>
      </c>
      <c r="M149" s="2"/>
      <c r="N149" s="2"/>
      <c r="O149" s="2"/>
      <c r="P149" s="2"/>
      <c r="Q149" s="2"/>
      <c r="R149" s="2"/>
      <c r="S149" s="2"/>
      <c r="T149" s="2"/>
      <c r="U149" s="16"/>
    </row>
    <row r="150" spans="1:21" x14ac:dyDescent="0.35">
      <c r="A150" s="15" t="s">
        <v>869</v>
      </c>
      <c r="B150" s="2" t="s">
        <v>22</v>
      </c>
      <c r="C150" s="2" t="s">
        <v>3</v>
      </c>
      <c r="D150" s="2" t="s">
        <v>870</v>
      </c>
      <c r="E150" s="2">
        <v>46.054600000000001</v>
      </c>
      <c r="F150" s="2">
        <v>14.5044</v>
      </c>
      <c r="G150" s="2" t="s">
        <v>873</v>
      </c>
      <c r="H150" s="2">
        <v>2024</v>
      </c>
      <c r="I150" s="2">
        <v>1.9656265643250499</v>
      </c>
      <c r="J150" s="2">
        <v>0</v>
      </c>
      <c r="K150" s="2" t="b">
        <v>1</v>
      </c>
      <c r="L150" s="2" t="b">
        <v>1</v>
      </c>
      <c r="M150" s="2"/>
      <c r="N150" s="2"/>
      <c r="O150" s="2"/>
      <c r="P150" s="2"/>
      <c r="Q150" s="2"/>
      <c r="R150" s="2"/>
      <c r="S150" s="2"/>
      <c r="T150" s="2"/>
      <c r="U150" s="16"/>
    </row>
    <row r="151" spans="1:21" x14ac:dyDescent="0.35">
      <c r="A151" s="15" t="s">
        <v>238</v>
      </c>
      <c r="B151" s="2" t="s">
        <v>22</v>
      </c>
      <c r="C151" s="2" t="s">
        <v>3</v>
      </c>
      <c r="D151" s="2" t="s">
        <v>239</v>
      </c>
      <c r="E151" s="2">
        <v>35.1676</v>
      </c>
      <c r="F151" s="2">
        <v>33.373600000000003</v>
      </c>
      <c r="G151" s="2" t="s">
        <v>242</v>
      </c>
      <c r="H151" s="2">
        <v>2024</v>
      </c>
      <c r="I151" s="2">
        <v>1.8002301862482399</v>
      </c>
      <c r="J151" s="2">
        <v>0</v>
      </c>
      <c r="K151" s="2" t="b">
        <v>1</v>
      </c>
      <c r="L151" s="2" t="b">
        <v>1</v>
      </c>
      <c r="M151" s="2"/>
      <c r="N151" s="2"/>
      <c r="O151" s="2"/>
      <c r="P151" s="2"/>
      <c r="Q151" s="2"/>
      <c r="R151" s="2"/>
      <c r="S151" s="2"/>
      <c r="T151" s="2"/>
      <c r="U151" s="16"/>
    </row>
    <row r="152" spans="1:21" x14ac:dyDescent="0.35">
      <c r="A152" s="15" t="s">
        <v>797</v>
      </c>
      <c r="B152" s="2" t="s">
        <v>15</v>
      </c>
      <c r="C152" s="2" t="s">
        <v>9</v>
      </c>
      <c r="D152" s="2" t="s">
        <v>798</v>
      </c>
      <c r="E152" s="2">
        <v>-1.9532499999999999</v>
      </c>
      <c r="F152" s="2">
        <v>30.058700000000002</v>
      </c>
      <c r="G152" s="2" t="s">
        <v>801</v>
      </c>
      <c r="H152" s="2">
        <v>2024</v>
      </c>
      <c r="I152" s="2">
        <v>1.77029240198635</v>
      </c>
      <c r="J152" s="2">
        <v>0</v>
      </c>
      <c r="K152" s="2" t="b">
        <v>1</v>
      </c>
      <c r="L152" s="2" t="b">
        <v>1</v>
      </c>
      <c r="M152" s="2"/>
      <c r="N152" s="2"/>
      <c r="O152" s="2"/>
      <c r="P152" s="2"/>
      <c r="Q152" s="2"/>
      <c r="R152" s="2"/>
      <c r="S152" s="2"/>
      <c r="T152" s="2"/>
      <c r="U152" s="16"/>
    </row>
    <row r="153" spans="1:21" x14ac:dyDescent="0.35">
      <c r="A153" s="15" t="s">
        <v>399</v>
      </c>
      <c r="B153" s="2" t="s">
        <v>48</v>
      </c>
      <c r="C153" s="2" t="s">
        <v>3</v>
      </c>
      <c r="D153" s="2"/>
      <c r="E153" s="2">
        <v>22.3964</v>
      </c>
      <c r="F153" s="2">
        <v>114.10899999999999</v>
      </c>
      <c r="G153" s="2" t="s">
        <v>402</v>
      </c>
      <c r="H153" s="2">
        <v>2024</v>
      </c>
      <c r="I153" s="2">
        <v>1.7297211910591399</v>
      </c>
      <c r="J153" s="2">
        <v>0</v>
      </c>
      <c r="K153" s="2" t="b">
        <v>1</v>
      </c>
      <c r="L153" s="2" t="b">
        <v>1</v>
      </c>
      <c r="M153" s="2"/>
      <c r="N153" s="2"/>
      <c r="O153" s="2"/>
      <c r="P153" s="2"/>
      <c r="Q153" s="2"/>
      <c r="R153" s="2"/>
      <c r="S153" s="2"/>
      <c r="T153" s="2"/>
      <c r="U153" s="16"/>
    </row>
    <row r="154" spans="1:21" x14ac:dyDescent="0.35">
      <c r="A154" s="15" t="s">
        <v>622</v>
      </c>
      <c r="B154" s="2" t="s">
        <v>8</v>
      </c>
      <c r="C154" s="2" t="s">
        <v>3</v>
      </c>
      <c r="D154" s="2" t="s">
        <v>623</v>
      </c>
      <c r="E154" s="2">
        <v>35.904200000000003</v>
      </c>
      <c r="F154" s="2">
        <v>14.5189</v>
      </c>
      <c r="G154" s="2" t="s">
        <v>626</v>
      </c>
      <c r="H154" s="2">
        <v>2024</v>
      </c>
      <c r="I154" s="2">
        <v>1.6507946928310899</v>
      </c>
      <c r="J154" s="2">
        <v>0</v>
      </c>
      <c r="K154" s="2" t="b">
        <v>1</v>
      </c>
      <c r="L154" s="2" t="b">
        <v>1</v>
      </c>
      <c r="M154" s="2"/>
      <c r="N154" s="2"/>
      <c r="O154" s="2"/>
      <c r="P154" s="2"/>
      <c r="Q154" s="2"/>
      <c r="R154" s="2"/>
      <c r="S154" s="2"/>
      <c r="T154" s="2"/>
      <c r="U154" s="16"/>
    </row>
    <row r="155" spans="1:21" x14ac:dyDescent="0.35">
      <c r="A155" s="15" t="s">
        <v>1012</v>
      </c>
      <c r="B155" s="2" t="s">
        <v>22</v>
      </c>
      <c r="C155" s="2" t="s">
        <v>23</v>
      </c>
      <c r="D155" s="2" t="s">
        <v>1013</v>
      </c>
      <c r="E155" s="2">
        <v>42.564999999999998</v>
      </c>
      <c r="F155" s="2">
        <v>20.925999999999998</v>
      </c>
      <c r="G155" s="2" t="s">
        <v>1016</v>
      </c>
      <c r="H155" s="2">
        <v>2024</v>
      </c>
      <c r="I155" s="2">
        <v>1.61944994559476</v>
      </c>
      <c r="J155" s="2">
        <v>0</v>
      </c>
      <c r="K155" s="2" t="b">
        <v>1</v>
      </c>
      <c r="L155" s="2" t="b">
        <v>1</v>
      </c>
      <c r="M155" s="2"/>
      <c r="N155" s="2"/>
      <c r="O155" s="2"/>
      <c r="P155" s="2"/>
      <c r="Q155" s="2"/>
      <c r="R155" s="2"/>
      <c r="S155" s="2"/>
      <c r="T155" s="2"/>
      <c r="U155" s="16"/>
    </row>
    <row r="156" spans="1:21" x14ac:dyDescent="0.35">
      <c r="A156" s="15" t="s">
        <v>306</v>
      </c>
      <c r="B156" s="2" t="s">
        <v>22</v>
      </c>
      <c r="C156" s="2" t="s">
        <v>3</v>
      </c>
      <c r="D156" s="2" t="s">
        <v>307</v>
      </c>
      <c r="E156" s="2">
        <v>60.160800000000002</v>
      </c>
      <c r="F156" s="2">
        <v>24.952500000000001</v>
      </c>
      <c r="G156" s="2" t="s">
        <v>310</v>
      </c>
      <c r="H156" s="2">
        <v>2024</v>
      </c>
      <c r="I156" s="2">
        <v>1.5656890623161599</v>
      </c>
      <c r="J156" s="2">
        <v>0</v>
      </c>
      <c r="K156" s="2" t="b">
        <v>1</v>
      </c>
      <c r="L156" s="2" t="b">
        <v>1</v>
      </c>
      <c r="M156" s="2"/>
      <c r="N156" s="2"/>
      <c r="O156" s="2"/>
      <c r="P156" s="2"/>
      <c r="Q156" s="2"/>
      <c r="R156" s="2">
        <v>5.12</v>
      </c>
      <c r="S156" s="2">
        <v>118.6</v>
      </c>
      <c r="T156" s="2"/>
      <c r="U156" s="16"/>
    </row>
    <row r="157" spans="1:21" x14ac:dyDescent="0.35">
      <c r="A157" s="15" t="s">
        <v>471</v>
      </c>
      <c r="B157" s="2" t="s">
        <v>8</v>
      </c>
      <c r="C157" s="2" t="s">
        <v>23</v>
      </c>
      <c r="D157" s="2" t="s">
        <v>472</v>
      </c>
      <c r="E157" s="2">
        <v>31.9497</v>
      </c>
      <c r="F157" s="2">
        <v>35.926299999999998</v>
      </c>
      <c r="G157" s="2" t="s">
        <v>475</v>
      </c>
      <c r="H157" s="2">
        <v>2024</v>
      </c>
      <c r="I157" s="2">
        <v>1.55659611283953</v>
      </c>
      <c r="J157" s="2">
        <v>0</v>
      </c>
      <c r="K157" s="2" t="b">
        <v>1</v>
      </c>
      <c r="L157" s="2" t="b">
        <v>1</v>
      </c>
      <c r="M157" s="2"/>
      <c r="N157" s="2"/>
      <c r="O157" s="2"/>
      <c r="P157" s="2"/>
      <c r="Q157" s="2"/>
      <c r="R157" s="2"/>
      <c r="S157" s="2"/>
      <c r="T157" s="2"/>
      <c r="U157" s="16"/>
    </row>
    <row r="158" spans="1:21" x14ac:dyDescent="0.35">
      <c r="A158" s="15" t="s">
        <v>277</v>
      </c>
      <c r="B158" s="2" t="s">
        <v>2</v>
      </c>
      <c r="C158" s="2" t="s">
        <v>23</v>
      </c>
      <c r="D158" s="2" t="s">
        <v>278</v>
      </c>
      <c r="E158" s="2">
        <v>-0.22949800000000001</v>
      </c>
      <c r="F158" s="2">
        <v>-78.524299999999997</v>
      </c>
      <c r="G158" s="2" t="s">
        <v>281</v>
      </c>
      <c r="H158" s="2">
        <v>2024</v>
      </c>
      <c r="I158" s="2">
        <v>1.54732515615369</v>
      </c>
      <c r="J158" s="2">
        <v>0</v>
      </c>
      <c r="K158" s="2" t="b">
        <v>1</v>
      </c>
      <c r="L158" s="2" t="b">
        <v>1</v>
      </c>
      <c r="M158" s="2"/>
      <c r="N158" s="2"/>
      <c r="O158" s="2"/>
      <c r="P158" s="2"/>
      <c r="Q158" s="2"/>
      <c r="R158" s="2"/>
      <c r="S158" s="2"/>
      <c r="T158" s="2"/>
      <c r="U158" s="16"/>
    </row>
    <row r="159" spans="1:21" x14ac:dyDescent="0.35">
      <c r="A159" s="15" t="s">
        <v>163</v>
      </c>
      <c r="B159" s="2" t="s">
        <v>15</v>
      </c>
      <c r="C159" s="2" t="s">
        <v>9</v>
      </c>
      <c r="D159" s="2" t="s">
        <v>164</v>
      </c>
      <c r="E159" s="2">
        <v>5.63056</v>
      </c>
      <c r="F159" s="2">
        <v>21.640699999999999</v>
      </c>
      <c r="G159" s="2" t="s">
        <v>167</v>
      </c>
      <c r="H159" s="2">
        <v>2024</v>
      </c>
      <c r="I159" s="2">
        <v>1.47733600718744</v>
      </c>
      <c r="J159" s="2">
        <v>0</v>
      </c>
      <c r="K159" s="2" t="b">
        <v>1</v>
      </c>
      <c r="L159" s="2" t="b">
        <v>1</v>
      </c>
      <c r="M159" s="2"/>
      <c r="N159" s="2"/>
      <c r="O159" s="2"/>
      <c r="P159" s="2"/>
      <c r="Q159" s="2"/>
      <c r="R159" s="2"/>
      <c r="S159" s="2"/>
      <c r="T159" s="2"/>
      <c r="U159" s="16"/>
    </row>
    <row r="160" spans="1:21" x14ac:dyDescent="0.35">
      <c r="A160" s="15" t="s">
        <v>598</v>
      </c>
      <c r="B160" s="2" t="s">
        <v>93</v>
      </c>
      <c r="C160" s="2" t="s">
        <v>23</v>
      </c>
      <c r="D160" s="2" t="s">
        <v>599</v>
      </c>
      <c r="E160" s="2">
        <v>4.1741999999999999</v>
      </c>
      <c r="F160" s="2">
        <v>73.510900000000007</v>
      </c>
      <c r="G160" s="2" t="s">
        <v>602</v>
      </c>
      <c r="H160" s="2">
        <v>2024</v>
      </c>
      <c r="I160" s="2">
        <v>1.4109352791013401</v>
      </c>
      <c r="J160" s="2">
        <v>0</v>
      </c>
      <c r="K160" s="2" t="b">
        <v>1</v>
      </c>
      <c r="L160" s="2" t="b">
        <v>1</v>
      </c>
      <c r="M160" s="2"/>
      <c r="N160" s="2"/>
      <c r="O160" s="2"/>
      <c r="P160" s="2"/>
      <c r="Q160" s="2"/>
      <c r="R160" s="2"/>
      <c r="S160" s="2"/>
      <c r="T160" s="2"/>
      <c r="U160" s="16"/>
    </row>
    <row r="161" spans="1:21" x14ac:dyDescent="0.35">
      <c r="A161" s="15" t="s">
        <v>569</v>
      </c>
      <c r="B161" s="2" t="s">
        <v>22</v>
      </c>
      <c r="C161" s="2" t="s">
        <v>3</v>
      </c>
      <c r="D161" s="2" t="s">
        <v>570</v>
      </c>
      <c r="E161" s="2">
        <v>56.9465</v>
      </c>
      <c r="F161" s="2">
        <v>24.104800000000001</v>
      </c>
      <c r="G161" s="2" t="s">
        <v>573</v>
      </c>
      <c r="H161" s="2">
        <v>2024</v>
      </c>
      <c r="I161" s="2">
        <v>1.2657988582872901</v>
      </c>
      <c r="J161" s="2">
        <v>0</v>
      </c>
      <c r="K161" s="2" t="b">
        <v>1</v>
      </c>
      <c r="L161" s="2" t="b">
        <v>1</v>
      </c>
      <c r="M161" s="2"/>
      <c r="N161" s="2"/>
      <c r="O161" s="2"/>
      <c r="P161" s="2"/>
      <c r="Q161" s="2"/>
      <c r="R161" s="2"/>
      <c r="S161" s="2"/>
      <c r="T161" s="2"/>
      <c r="U161" s="16"/>
    </row>
    <row r="162" spans="1:21" x14ac:dyDescent="0.35">
      <c r="A162" s="15" t="s">
        <v>836</v>
      </c>
      <c r="B162" s="2" t="s">
        <v>22</v>
      </c>
      <c r="C162" s="2" t="s">
        <v>3</v>
      </c>
      <c r="D162" s="2" t="s">
        <v>836</v>
      </c>
      <c r="E162" s="2">
        <v>43.932200000000002</v>
      </c>
      <c r="F162" s="2">
        <v>12.448600000000001</v>
      </c>
      <c r="G162" s="2" t="s">
        <v>839</v>
      </c>
      <c r="H162" s="2">
        <v>2024</v>
      </c>
      <c r="I162" s="2">
        <v>1.24216507945569</v>
      </c>
      <c r="J162" s="2">
        <v>0</v>
      </c>
      <c r="K162" s="2" t="b">
        <v>1</v>
      </c>
      <c r="L162" s="2" t="b">
        <v>1</v>
      </c>
      <c r="M162" s="2"/>
      <c r="N162" s="2"/>
      <c r="O162" s="2"/>
      <c r="P162" s="2"/>
      <c r="Q162" s="2"/>
      <c r="R162" s="2"/>
      <c r="S162" s="2"/>
      <c r="T162" s="2"/>
      <c r="U162" s="16"/>
    </row>
    <row r="163" spans="1:21" x14ac:dyDescent="0.35">
      <c r="A163" s="15" t="s">
        <v>330</v>
      </c>
      <c r="B163" s="2" t="s">
        <v>15</v>
      </c>
      <c r="C163" s="2" t="s">
        <v>23</v>
      </c>
      <c r="D163" s="2" t="s">
        <v>331</v>
      </c>
      <c r="E163" s="2">
        <v>0.38832</v>
      </c>
      <c r="F163" s="2">
        <v>9.4516200000000001</v>
      </c>
      <c r="G163" s="2" t="s">
        <v>334</v>
      </c>
      <c r="H163" s="2">
        <v>2024</v>
      </c>
      <c r="I163" s="2">
        <v>1.17311998381218</v>
      </c>
      <c r="J163" s="2">
        <v>0</v>
      </c>
      <c r="K163" s="2" t="b">
        <v>1</v>
      </c>
      <c r="L163" s="2" t="b">
        <v>1</v>
      </c>
      <c r="M163" s="2"/>
      <c r="N163" s="2"/>
      <c r="O163" s="2"/>
      <c r="P163" s="2"/>
      <c r="Q163" s="2"/>
      <c r="R163" s="2"/>
      <c r="S163" s="2"/>
      <c r="T163" s="2"/>
      <c r="U163" s="16"/>
    </row>
    <row r="164" spans="1:21" x14ac:dyDescent="0.35">
      <c r="A164" s="15" t="s">
        <v>82</v>
      </c>
      <c r="B164" s="2" t="s">
        <v>15</v>
      </c>
      <c r="C164" s="2" t="s">
        <v>16</v>
      </c>
      <c r="D164" s="2" t="s">
        <v>83</v>
      </c>
      <c r="E164" s="2">
        <v>6.4779</v>
      </c>
      <c r="F164" s="2">
        <v>2.6322999999999999</v>
      </c>
      <c r="G164" s="2" t="s">
        <v>86</v>
      </c>
      <c r="H164" s="2">
        <v>2024</v>
      </c>
      <c r="I164" s="2">
        <v>1.16093089640415</v>
      </c>
      <c r="J164" s="2">
        <v>0</v>
      </c>
      <c r="K164" s="2" t="b">
        <v>1</v>
      </c>
      <c r="L164" s="2" t="b">
        <v>1</v>
      </c>
      <c r="M164" s="2"/>
      <c r="N164" s="2"/>
      <c r="O164" s="2"/>
      <c r="P164" s="2"/>
      <c r="Q164" s="2"/>
      <c r="R164" s="2"/>
      <c r="S164" s="2"/>
      <c r="T164" s="2"/>
      <c r="U164" s="16"/>
    </row>
    <row r="165" spans="1:21" x14ac:dyDescent="0.35">
      <c r="A165" s="15" t="s">
        <v>1002</v>
      </c>
      <c r="B165" s="2" t="s">
        <v>48</v>
      </c>
      <c r="C165" s="2" t="s">
        <v>16</v>
      </c>
      <c r="D165" s="2" t="s">
        <v>1003</v>
      </c>
      <c r="E165" s="2">
        <v>-17.740400000000001</v>
      </c>
      <c r="F165" s="2">
        <v>168.321</v>
      </c>
      <c r="G165" s="2" t="s">
        <v>1006</v>
      </c>
      <c r="H165" s="2">
        <v>2024</v>
      </c>
      <c r="I165" s="2">
        <v>1.1434894872741199</v>
      </c>
      <c r="J165" s="2">
        <v>0</v>
      </c>
      <c r="K165" s="2" t="b">
        <v>1</v>
      </c>
      <c r="L165" s="2" t="b">
        <v>1</v>
      </c>
      <c r="M165" s="2"/>
      <c r="N165" s="2"/>
      <c r="O165" s="2"/>
      <c r="P165" s="2"/>
      <c r="Q165" s="2"/>
      <c r="R165" s="2"/>
      <c r="S165" s="2"/>
      <c r="T165" s="2"/>
      <c r="U165" s="16"/>
    </row>
    <row r="166" spans="1:21" x14ac:dyDescent="0.35">
      <c r="A166" s="15" t="s">
        <v>340</v>
      </c>
      <c r="B166" s="2" t="s">
        <v>22</v>
      </c>
      <c r="C166" s="2" t="s">
        <v>23</v>
      </c>
      <c r="D166" s="2" t="s">
        <v>341</v>
      </c>
      <c r="E166" s="2">
        <v>41.71</v>
      </c>
      <c r="F166" s="2">
        <v>44.792999999999999</v>
      </c>
      <c r="G166" s="2" t="s">
        <v>344</v>
      </c>
      <c r="H166" s="2">
        <v>2024</v>
      </c>
      <c r="I166" s="2">
        <v>1.10971758022096</v>
      </c>
      <c r="J166" s="2">
        <v>0</v>
      </c>
      <c r="K166" s="2" t="b">
        <v>1</v>
      </c>
      <c r="L166" s="2" t="b">
        <v>1</v>
      </c>
      <c r="M166" s="2"/>
      <c r="N166" s="2"/>
      <c r="O166" s="2"/>
      <c r="P166" s="2"/>
      <c r="Q166" s="2"/>
      <c r="R166" s="2"/>
      <c r="S166" s="2"/>
      <c r="T166" s="2"/>
      <c r="U166" s="16"/>
    </row>
    <row r="167" spans="1:21" x14ac:dyDescent="0.35">
      <c r="A167" s="15" t="s">
        <v>376</v>
      </c>
      <c r="B167" s="2" t="s">
        <v>2</v>
      </c>
      <c r="C167" s="2" t="s">
        <v>23</v>
      </c>
      <c r="D167" s="2" t="s">
        <v>377</v>
      </c>
      <c r="E167" s="2">
        <v>12.065300000000001</v>
      </c>
      <c r="F167" s="2">
        <v>-61.744900000000001</v>
      </c>
      <c r="G167" s="2" t="s">
        <v>380</v>
      </c>
      <c r="H167" s="2">
        <v>2024</v>
      </c>
      <c r="I167" s="2">
        <v>1.08615365134737</v>
      </c>
      <c r="J167" s="2">
        <v>0</v>
      </c>
      <c r="K167" s="2" t="b">
        <v>1</v>
      </c>
      <c r="L167" s="2" t="b">
        <v>1</v>
      </c>
      <c r="M167" s="2"/>
      <c r="N167" s="2"/>
      <c r="O167" s="2"/>
      <c r="P167" s="2"/>
      <c r="Q167" s="2"/>
      <c r="R167" s="2"/>
      <c r="S167" s="2"/>
      <c r="T167" s="2"/>
      <c r="U167" s="16"/>
    </row>
    <row r="168" spans="1:21" x14ac:dyDescent="0.35">
      <c r="A168" s="15" t="s">
        <v>218</v>
      </c>
      <c r="B168" s="2" t="s">
        <v>15</v>
      </c>
      <c r="C168" s="2" t="s">
        <v>23</v>
      </c>
      <c r="D168" s="2" t="s">
        <v>219</v>
      </c>
      <c r="E168" s="2">
        <v>14.921799999999999</v>
      </c>
      <c r="F168" s="2">
        <v>-23.508700000000001</v>
      </c>
      <c r="G168" s="2" t="s">
        <v>222</v>
      </c>
      <c r="H168" s="2">
        <v>2024</v>
      </c>
      <c r="I168" s="2">
        <v>1.0481700109196499</v>
      </c>
      <c r="J168" s="2">
        <v>0</v>
      </c>
      <c r="K168" s="2" t="b">
        <v>1</v>
      </c>
      <c r="L168" s="2" t="b">
        <v>1</v>
      </c>
      <c r="M168" s="2"/>
      <c r="N168" s="2"/>
      <c r="O168" s="2"/>
      <c r="P168" s="2"/>
      <c r="Q168" s="2"/>
      <c r="R168" s="2"/>
      <c r="S168" s="2"/>
      <c r="T168" s="2"/>
      <c r="U168" s="16"/>
    </row>
    <row r="169" spans="1:21" x14ac:dyDescent="0.35">
      <c r="A169" s="15" t="s">
        <v>580</v>
      </c>
      <c r="B169" s="2" t="s">
        <v>8</v>
      </c>
      <c r="C169" s="2" t="s">
        <v>16</v>
      </c>
      <c r="D169" s="2" t="s">
        <v>581</v>
      </c>
      <c r="E169" s="2">
        <v>33.990499999999997</v>
      </c>
      <c r="F169" s="2">
        <v>-6.8704000000000001</v>
      </c>
      <c r="G169" s="2" t="s">
        <v>584</v>
      </c>
      <c r="H169" s="2">
        <v>2024</v>
      </c>
      <c r="I169" s="2">
        <v>0.98525659200450699</v>
      </c>
      <c r="J169" s="2">
        <v>0</v>
      </c>
      <c r="K169" s="2" t="b">
        <v>1</v>
      </c>
      <c r="L169" s="2" t="b">
        <v>1</v>
      </c>
      <c r="M169" s="2"/>
      <c r="N169" s="2"/>
      <c r="O169" s="2"/>
      <c r="P169" s="2"/>
      <c r="Q169" s="2"/>
      <c r="R169" s="2"/>
      <c r="S169" s="2"/>
      <c r="T169" s="2"/>
      <c r="U169" s="16"/>
    </row>
    <row r="170" spans="1:21" x14ac:dyDescent="0.35">
      <c r="A170" s="15" t="s">
        <v>831</v>
      </c>
      <c r="B170" s="2" t="s">
        <v>2</v>
      </c>
      <c r="C170" s="2" t="s">
        <v>23</v>
      </c>
      <c r="D170" s="2" t="s">
        <v>832</v>
      </c>
      <c r="E170" s="2">
        <v>13.7034</v>
      </c>
      <c r="F170" s="2">
        <v>-89.207300000000004</v>
      </c>
      <c r="G170" s="2" t="s">
        <v>835</v>
      </c>
      <c r="H170" s="2">
        <v>2024</v>
      </c>
      <c r="I170" s="2">
        <v>0.85378229256728799</v>
      </c>
      <c r="J170" s="2">
        <v>0</v>
      </c>
      <c r="K170" s="2" t="b">
        <v>1</v>
      </c>
      <c r="L170" s="2" t="b">
        <v>1</v>
      </c>
      <c r="M170" s="2"/>
      <c r="N170" s="2"/>
      <c r="O170" s="2"/>
      <c r="P170" s="2"/>
      <c r="Q170" s="2"/>
      <c r="R170" s="2"/>
      <c r="S170" s="2"/>
      <c r="T170" s="2"/>
      <c r="U170" s="16"/>
    </row>
    <row r="171" spans="1:21" x14ac:dyDescent="0.35">
      <c r="A171" s="15" t="s">
        <v>812</v>
      </c>
      <c r="B171" s="2" t="s">
        <v>15</v>
      </c>
      <c r="C171" s="2" t="s">
        <v>16</v>
      </c>
      <c r="D171" s="2" t="s">
        <v>813</v>
      </c>
      <c r="E171" s="2">
        <v>14.7247</v>
      </c>
      <c r="F171" s="2">
        <v>-17.473400000000002</v>
      </c>
      <c r="G171" s="2" t="s">
        <v>816</v>
      </c>
      <c r="H171" s="2">
        <v>2024</v>
      </c>
      <c r="I171" s="2">
        <v>0.80450329879243798</v>
      </c>
      <c r="J171" s="2">
        <v>0</v>
      </c>
      <c r="K171" s="2" t="b">
        <v>1</v>
      </c>
      <c r="L171" s="2" t="b">
        <v>1</v>
      </c>
      <c r="M171" s="2"/>
      <c r="N171" s="2"/>
      <c r="O171" s="2"/>
      <c r="P171" s="2"/>
      <c r="Q171" s="2"/>
      <c r="R171" s="2"/>
      <c r="S171" s="2"/>
      <c r="T171" s="2"/>
      <c r="U171" s="16"/>
    </row>
    <row r="172" spans="1:21" x14ac:dyDescent="0.35">
      <c r="A172" s="15" t="s">
        <v>560</v>
      </c>
      <c r="B172" s="2" t="s">
        <v>22</v>
      </c>
      <c r="C172" s="2" t="s">
        <v>3</v>
      </c>
      <c r="D172" s="2" t="s">
        <v>561</v>
      </c>
      <c r="E172" s="2">
        <v>54.689599999999999</v>
      </c>
      <c r="F172" s="2">
        <v>25.279900000000001</v>
      </c>
      <c r="G172" s="2" t="s">
        <v>564</v>
      </c>
      <c r="H172" s="2">
        <v>2024</v>
      </c>
      <c r="I172" s="2">
        <v>0.71573583522872297</v>
      </c>
      <c r="J172" s="2">
        <v>0</v>
      </c>
      <c r="K172" s="2" t="b">
        <v>1</v>
      </c>
      <c r="L172" s="2" t="b">
        <v>1</v>
      </c>
      <c r="M172" s="2"/>
      <c r="N172" s="2"/>
      <c r="O172" s="2"/>
      <c r="P172" s="2"/>
      <c r="Q172" s="2"/>
      <c r="R172" s="2"/>
      <c r="S172" s="2"/>
      <c r="T172" s="2"/>
      <c r="U172" s="16"/>
    </row>
    <row r="173" spans="1:21" x14ac:dyDescent="0.35">
      <c r="A173" s="15" t="s">
        <v>728</v>
      </c>
      <c r="B173" s="2" t="s">
        <v>2</v>
      </c>
      <c r="C173" s="2" t="s">
        <v>3</v>
      </c>
      <c r="D173" s="2" t="s">
        <v>729</v>
      </c>
      <c r="E173" s="2">
        <v>8.9942700000000002</v>
      </c>
      <c r="F173" s="2">
        <v>-79.518799999999999</v>
      </c>
      <c r="G173" s="2" t="s">
        <v>732</v>
      </c>
      <c r="H173" s="2">
        <v>2024</v>
      </c>
      <c r="I173" s="2">
        <v>0.69322555100446004</v>
      </c>
      <c r="J173" s="2">
        <v>0</v>
      </c>
      <c r="K173" s="2" t="b">
        <v>1</v>
      </c>
      <c r="L173" s="2" t="b">
        <v>1</v>
      </c>
      <c r="M173" s="2"/>
      <c r="N173" s="2"/>
      <c r="O173" s="2"/>
      <c r="P173" s="2"/>
      <c r="Q173" s="2"/>
      <c r="R173" s="2"/>
      <c r="S173" s="2"/>
      <c r="T173" s="2"/>
      <c r="U173" s="16"/>
    </row>
    <row r="174" spans="1:21" x14ac:dyDescent="0.35">
      <c r="A174" s="15" t="s">
        <v>574</v>
      </c>
      <c r="B174" s="2" t="s">
        <v>48</v>
      </c>
      <c r="C174" s="2" t="s">
        <v>3</v>
      </c>
      <c r="D174" s="2"/>
      <c r="E174" s="2">
        <v>22.166699999999999</v>
      </c>
      <c r="F174" s="2">
        <v>113.55</v>
      </c>
      <c r="G174" s="2" t="s">
        <v>577</v>
      </c>
      <c r="H174" s="2">
        <v>2024</v>
      </c>
      <c r="I174" s="2">
        <v>0.67249859885436503</v>
      </c>
      <c r="J174" s="2">
        <v>0</v>
      </c>
      <c r="K174" s="2" t="b">
        <v>1</v>
      </c>
      <c r="L174" s="2" t="b">
        <v>1</v>
      </c>
      <c r="M174" s="2"/>
      <c r="N174" s="2"/>
      <c r="O174" s="2"/>
      <c r="P174" s="2"/>
      <c r="Q174" s="2"/>
      <c r="R174" s="2"/>
      <c r="S174" s="2"/>
      <c r="T174" s="2"/>
      <c r="U174" s="16"/>
    </row>
    <row r="175" spans="1:21" x14ac:dyDescent="0.35">
      <c r="A175" s="15" t="s">
        <v>748</v>
      </c>
      <c r="B175" s="2" t="s">
        <v>48</v>
      </c>
      <c r="C175" s="2" t="s">
        <v>16</v>
      </c>
      <c r="D175" s="2" t="s">
        <v>749</v>
      </c>
      <c r="E175" s="2">
        <v>-9.4735700000000005</v>
      </c>
      <c r="F175" s="2">
        <v>147.19399999999999</v>
      </c>
      <c r="G175" s="2" t="s">
        <v>752</v>
      </c>
      <c r="H175" s="2">
        <v>2024</v>
      </c>
      <c r="I175" s="2">
        <v>0.60240392110791696</v>
      </c>
      <c r="J175" s="2">
        <v>0</v>
      </c>
      <c r="K175" s="2" t="b">
        <v>1</v>
      </c>
      <c r="L175" s="2" t="b">
        <v>1</v>
      </c>
      <c r="M175" s="2"/>
      <c r="N175" s="2"/>
      <c r="O175" s="2"/>
      <c r="P175" s="2"/>
      <c r="Q175" s="2"/>
      <c r="R175" s="2"/>
      <c r="S175" s="2"/>
      <c r="T175" s="2"/>
      <c r="U175" s="16"/>
    </row>
    <row r="176" spans="1:21" x14ac:dyDescent="0.35">
      <c r="A176" s="15" t="s">
        <v>931</v>
      </c>
      <c r="B176" s="2" t="s">
        <v>2</v>
      </c>
      <c r="C176" s="2" t="s">
        <v>3</v>
      </c>
      <c r="D176" s="2" t="s">
        <v>932</v>
      </c>
      <c r="E176" s="2">
        <v>10.659599999999999</v>
      </c>
      <c r="F176" s="2">
        <v>-61.478900000000003</v>
      </c>
      <c r="G176" s="2" t="s">
        <v>935</v>
      </c>
      <c r="H176" s="2">
        <v>2024</v>
      </c>
      <c r="I176" s="2">
        <v>0.52688462577683903</v>
      </c>
      <c r="J176" s="2">
        <v>0</v>
      </c>
      <c r="K176" s="2" t="b">
        <v>1</v>
      </c>
      <c r="L176" s="2" t="b">
        <v>1</v>
      </c>
      <c r="M176" s="2"/>
      <c r="N176" s="2"/>
      <c r="O176" s="2"/>
      <c r="P176" s="2"/>
      <c r="Q176" s="2"/>
      <c r="R176" s="2"/>
      <c r="S176" s="2"/>
      <c r="T176" s="2"/>
      <c r="U176" s="16"/>
    </row>
    <row r="177" spans="1:21" x14ac:dyDescent="0.35">
      <c r="A177" s="15" t="s">
        <v>108</v>
      </c>
      <c r="B177" s="2" t="s">
        <v>2</v>
      </c>
      <c r="C177" s="2" t="s">
        <v>3</v>
      </c>
      <c r="D177" s="2" t="s">
        <v>109</v>
      </c>
      <c r="E177" s="2">
        <v>25.066099999999999</v>
      </c>
      <c r="F177" s="2">
        <v>-77.338999999999999</v>
      </c>
      <c r="G177" s="2" t="s">
        <v>112</v>
      </c>
      <c r="H177" s="2">
        <v>2024</v>
      </c>
      <c r="I177" s="2">
        <v>0.40916248908328601</v>
      </c>
      <c r="J177" s="2">
        <v>0</v>
      </c>
      <c r="K177" s="2" t="b">
        <v>1</v>
      </c>
      <c r="L177" s="2" t="b">
        <v>1</v>
      </c>
      <c r="M177" s="2"/>
      <c r="N177" s="2"/>
      <c r="O177" s="2"/>
      <c r="P177" s="2"/>
      <c r="Q177" s="2"/>
      <c r="R177" s="2"/>
      <c r="S177" s="2"/>
      <c r="T177" s="2"/>
      <c r="U177" s="16"/>
    </row>
    <row r="178" spans="1:21" x14ac:dyDescent="0.35">
      <c r="A178" s="15" t="s">
        <v>885</v>
      </c>
      <c r="B178" s="2" t="s">
        <v>15</v>
      </c>
      <c r="C178" s="2" t="s">
        <v>3</v>
      </c>
      <c r="D178" s="2" t="s">
        <v>886</v>
      </c>
      <c r="E178" s="2">
        <v>-4.6308999999999996</v>
      </c>
      <c r="F178" s="2">
        <v>55.446599999999997</v>
      </c>
      <c r="G178" s="2" t="s">
        <v>889</v>
      </c>
      <c r="H178" s="2">
        <v>2024</v>
      </c>
      <c r="I178" s="2">
        <v>0.31172605091966799</v>
      </c>
      <c r="J178" s="2">
        <v>0</v>
      </c>
      <c r="K178" s="2" t="b">
        <v>1</v>
      </c>
      <c r="L178" s="2" t="b">
        <v>1</v>
      </c>
      <c r="M178" s="2"/>
      <c r="N178" s="2"/>
      <c r="O178" s="2"/>
      <c r="P178" s="2"/>
      <c r="Q178" s="2"/>
      <c r="R178" s="2"/>
      <c r="S178" s="2"/>
      <c r="T178" s="2"/>
      <c r="U178" s="16"/>
    </row>
    <row r="179" spans="1:21" x14ac:dyDescent="0.35">
      <c r="A179" s="15" t="s">
        <v>42</v>
      </c>
      <c r="B179" s="2" t="s">
        <v>22</v>
      </c>
      <c r="C179" s="2" t="s">
        <v>23</v>
      </c>
      <c r="D179" s="2" t="s">
        <v>43</v>
      </c>
      <c r="E179" s="2">
        <v>40.159599999999998</v>
      </c>
      <c r="F179" s="2">
        <v>44.509</v>
      </c>
      <c r="G179" s="2" t="s">
        <v>46</v>
      </c>
      <c r="H179" s="2">
        <v>2024</v>
      </c>
      <c r="I179" s="2">
        <v>0.26951197825912498</v>
      </c>
      <c r="J179" s="2">
        <v>0</v>
      </c>
      <c r="K179" s="2" t="b">
        <v>1</v>
      </c>
      <c r="L179" s="2" t="b">
        <v>1</v>
      </c>
      <c r="M179" s="2"/>
      <c r="N179" s="2"/>
      <c r="O179" s="2"/>
      <c r="P179" s="2"/>
      <c r="Q179" s="2"/>
      <c r="R179" s="2"/>
      <c r="S179" s="2"/>
      <c r="T179" s="2"/>
      <c r="U179" s="16"/>
    </row>
    <row r="180" spans="1:21" x14ac:dyDescent="0.35">
      <c r="A180" s="15" t="s">
        <v>1017</v>
      </c>
      <c r="B180" s="2" t="s">
        <v>8</v>
      </c>
      <c r="C180" s="2" t="s">
        <v>9</v>
      </c>
      <c r="D180" s="2" t="s">
        <v>1018</v>
      </c>
      <c r="E180" s="2">
        <v>15.352</v>
      </c>
      <c r="F180" s="2">
        <v>44.207500000000003</v>
      </c>
      <c r="G180" s="2"/>
      <c r="H180" s="2"/>
      <c r="I180" s="2">
        <v>0</v>
      </c>
      <c r="J180" s="2">
        <v>0</v>
      </c>
      <c r="K180" s="2" t="b">
        <v>1</v>
      </c>
      <c r="L180" s="2" t="b">
        <v>1</v>
      </c>
      <c r="M180" s="2"/>
      <c r="N180" s="2"/>
      <c r="O180" s="2"/>
      <c r="P180" s="2"/>
      <c r="Q180" s="2"/>
      <c r="R180" s="2"/>
      <c r="S180" s="2"/>
      <c r="T180" s="2"/>
      <c r="U180" s="16"/>
    </row>
    <row r="181" spans="1:21" x14ac:dyDescent="0.35">
      <c r="A181" s="15" t="s">
        <v>641</v>
      </c>
      <c r="B181" s="2" t="s">
        <v>48</v>
      </c>
      <c r="C181" s="2" t="s">
        <v>3</v>
      </c>
      <c r="D181" s="2" t="s">
        <v>642</v>
      </c>
      <c r="E181" s="2">
        <v>15.1935</v>
      </c>
      <c r="F181" s="2">
        <v>145.76499999999999</v>
      </c>
      <c r="G181" s="2"/>
      <c r="H181" s="2"/>
      <c r="I181" s="2">
        <v>0</v>
      </c>
      <c r="J181" s="2">
        <v>0</v>
      </c>
      <c r="K181" s="2" t="b">
        <v>1</v>
      </c>
      <c r="L181" s="2" t="b">
        <v>1</v>
      </c>
      <c r="M181" s="2"/>
      <c r="N181" s="2"/>
      <c r="O181" s="2"/>
      <c r="P181" s="2"/>
      <c r="Q181" s="2"/>
      <c r="R181" s="2"/>
      <c r="S181" s="2"/>
      <c r="T181" s="2"/>
      <c r="U181" s="16"/>
    </row>
    <row r="182" spans="1:21" x14ac:dyDescent="0.35">
      <c r="A182" s="15" t="s">
        <v>585</v>
      </c>
      <c r="B182" s="2" t="s">
        <v>22</v>
      </c>
      <c r="C182" s="2" t="s">
        <v>3</v>
      </c>
      <c r="D182" s="2" t="s">
        <v>585</v>
      </c>
      <c r="E182" s="2">
        <v>43.732500000000002</v>
      </c>
      <c r="F182" s="2">
        <v>7.4189100000000003</v>
      </c>
      <c r="G182" s="2"/>
      <c r="H182" s="2"/>
      <c r="I182" s="2">
        <v>0</v>
      </c>
      <c r="J182" s="2">
        <v>0</v>
      </c>
      <c r="K182" s="2" t="b">
        <v>1</v>
      </c>
      <c r="L182" s="2" t="b">
        <v>1</v>
      </c>
      <c r="M182" s="2"/>
      <c r="N182" s="2"/>
      <c r="O182" s="2"/>
      <c r="P182" s="2"/>
      <c r="Q182" s="2">
        <v>5.37</v>
      </c>
      <c r="R182" s="2"/>
      <c r="S182" s="2"/>
      <c r="T182" s="2"/>
      <c r="U182" s="16"/>
    </row>
    <row r="183" spans="1:21" x14ac:dyDescent="0.35">
      <c r="A183" s="15" t="s">
        <v>1</v>
      </c>
      <c r="B183" s="2" t="s">
        <v>2</v>
      </c>
      <c r="C183" s="2" t="s">
        <v>3</v>
      </c>
      <c r="D183" s="2" t="s">
        <v>4</v>
      </c>
      <c r="E183" s="2">
        <v>12.5167</v>
      </c>
      <c r="F183" s="2">
        <v>-70.0167</v>
      </c>
      <c r="G183" s="2"/>
      <c r="H183" s="2"/>
      <c r="I183" s="2">
        <v>0</v>
      </c>
      <c r="J183" s="2">
        <v>0</v>
      </c>
      <c r="K183" s="2" t="b">
        <v>1</v>
      </c>
      <c r="L183" s="2" t="b">
        <v>1</v>
      </c>
      <c r="M183" s="2"/>
      <c r="N183" s="2"/>
      <c r="O183" s="2"/>
      <c r="P183" s="2"/>
      <c r="Q183" s="2"/>
      <c r="R183" s="2"/>
      <c r="S183" s="2"/>
      <c r="T183" s="2"/>
      <c r="U183" s="16"/>
    </row>
    <row r="184" spans="1:21" x14ac:dyDescent="0.35">
      <c r="A184" s="15" t="s">
        <v>578</v>
      </c>
      <c r="B184" s="2" t="s">
        <v>2</v>
      </c>
      <c r="C184" s="2" t="s">
        <v>3</v>
      </c>
      <c r="D184" s="2" t="s">
        <v>579</v>
      </c>
      <c r="E184" s="2"/>
      <c r="F184" s="2"/>
      <c r="G184" s="2"/>
      <c r="H184" s="2"/>
      <c r="I184" s="2">
        <v>0</v>
      </c>
      <c r="J184" s="2">
        <v>0</v>
      </c>
      <c r="K184" s="2" t="b">
        <v>1</v>
      </c>
      <c r="L184" s="2" t="b">
        <v>1</v>
      </c>
      <c r="M184" s="2"/>
      <c r="N184" s="2"/>
      <c r="O184" s="2"/>
      <c r="P184" s="2"/>
      <c r="Q184" s="2"/>
      <c r="R184" s="2"/>
      <c r="S184" s="2"/>
      <c r="T184" s="2"/>
      <c r="U184" s="16"/>
    </row>
    <row r="185" spans="1:21" x14ac:dyDescent="0.35">
      <c r="A185" s="15" t="s">
        <v>28</v>
      </c>
      <c r="B185" s="2" t="s">
        <v>22</v>
      </c>
      <c r="C185" s="2" t="s">
        <v>3</v>
      </c>
      <c r="D185" s="2" t="s">
        <v>29</v>
      </c>
      <c r="E185" s="2">
        <v>42.5075</v>
      </c>
      <c r="F185" s="2">
        <v>1.5218</v>
      </c>
      <c r="G185" s="2"/>
      <c r="H185" s="2"/>
      <c r="I185" s="2">
        <v>0</v>
      </c>
      <c r="J185" s="2">
        <v>0</v>
      </c>
      <c r="K185" s="2" t="b">
        <v>1</v>
      </c>
      <c r="L185" s="2" t="b">
        <v>1</v>
      </c>
      <c r="M185" s="2"/>
      <c r="N185" s="2"/>
      <c r="O185" s="2"/>
      <c r="P185" s="2"/>
      <c r="Q185" s="2"/>
      <c r="R185" s="2"/>
      <c r="S185" s="2"/>
      <c r="T185" s="2"/>
      <c r="U185" s="16"/>
    </row>
    <row r="186" spans="1:21" x14ac:dyDescent="0.35">
      <c r="A186" s="15" t="s">
        <v>47</v>
      </c>
      <c r="B186" s="2" t="s">
        <v>48</v>
      </c>
      <c r="C186" s="2" t="s">
        <v>3</v>
      </c>
      <c r="D186" s="2" t="s">
        <v>49</v>
      </c>
      <c r="E186" s="2">
        <v>-14.284599999999999</v>
      </c>
      <c r="F186" s="2">
        <v>-170.691</v>
      </c>
      <c r="G186" s="2"/>
      <c r="H186" s="2"/>
      <c r="I186" s="2">
        <v>0</v>
      </c>
      <c r="J186" s="2">
        <v>0</v>
      </c>
      <c r="K186" s="2" t="b">
        <v>1</v>
      </c>
      <c r="L186" s="2" t="b">
        <v>1</v>
      </c>
      <c r="M186" s="2"/>
      <c r="N186" s="2"/>
      <c r="O186" s="2"/>
      <c r="P186" s="2"/>
      <c r="Q186" s="2"/>
      <c r="R186" s="2"/>
      <c r="S186" s="2"/>
      <c r="T186" s="2"/>
      <c r="U186" s="16"/>
    </row>
    <row r="187" spans="1:21" x14ac:dyDescent="0.35">
      <c r="A187" s="15" t="s">
        <v>128</v>
      </c>
      <c r="B187" s="2" t="s">
        <v>129</v>
      </c>
      <c r="C187" s="2" t="s">
        <v>3</v>
      </c>
      <c r="D187" s="2" t="s">
        <v>130</v>
      </c>
      <c r="E187" s="2">
        <v>32.329300000000003</v>
      </c>
      <c r="F187" s="2">
        <v>-64.706000000000003</v>
      </c>
      <c r="G187" s="2"/>
      <c r="H187" s="2"/>
      <c r="I187" s="2">
        <v>0</v>
      </c>
      <c r="J187" s="2">
        <v>0</v>
      </c>
      <c r="K187" s="2" t="b">
        <v>1</v>
      </c>
      <c r="L187" s="2" t="b">
        <v>1</v>
      </c>
      <c r="M187" s="2"/>
      <c r="N187" s="2"/>
      <c r="O187" s="2"/>
      <c r="P187" s="2"/>
      <c r="Q187" s="2">
        <v>8.61</v>
      </c>
      <c r="R187" s="2"/>
      <c r="S187" s="2"/>
      <c r="T187" s="2"/>
      <c r="U187" s="16"/>
    </row>
    <row r="188" spans="1:21" x14ac:dyDescent="0.35">
      <c r="A188" s="15" t="s">
        <v>178</v>
      </c>
      <c r="B188" s="2" t="s">
        <v>22</v>
      </c>
      <c r="C188" s="2" t="s">
        <v>3</v>
      </c>
      <c r="D188" s="2"/>
      <c r="E188" s="2"/>
      <c r="F188" s="2"/>
      <c r="G188" s="2"/>
      <c r="H188" s="2"/>
      <c r="I188" s="2">
        <v>0</v>
      </c>
      <c r="J188" s="2">
        <v>0</v>
      </c>
      <c r="K188" s="2" t="b">
        <v>1</v>
      </c>
      <c r="L188" s="2" t="b">
        <v>1</v>
      </c>
      <c r="M188" s="2"/>
      <c r="N188" s="2"/>
      <c r="O188" s="2"/>
      <c r="P188" s="2"/>
      <c r="Q188" s="2"/>
      <c r="R188" s="2"/>
      <c r="S188" s="2"/>
      <c r="T188" s="2"/>
      <c r="U188" s="16"/>
    </row>
    <row r="189" spans="1:21" x14ac:dyDescent="0.35">
      <c r="A189" s="15" t="s">
        <v>232</v>
      </c>
      <c r="B189" s="2" t="s">
        <v>2</v>
      </c>
      <c r="C189" s="2" t="s">
        <v>3</v>
      </c>
      <c r="D189" s="2" t="s">
        <v>233</v>
      </c>
      <c r="E189" s="2"/>
      <c r="F189" s="2"/>
      <c r="G189" s="2"/>
      <c r="H189" s="2"/>
      <c r="I189" s="2">
        <v>0</v>
      </c>
      <c r="J189" s="2">
        <v>0</v>
      </c>
      <c r="K189" s="2" t="b">
        <v>1</v>
      </c>
      <c r="L189" s="2" t="b">
        <v>1</v>
      </c>
      <c r="M189" s="2"/>
      <c r="N189" s="2"/>
      <c r="O189" s="2"/>
      <c r="P189" s="2"/>
      <c r="Q189" s="2"/>
      <c r="R189" s="2"/>
      <c r="S189" s="2"/>
      <c r="T189" s="2"/>
      <c r="U189" s="16"/>
    </row>
    <row r="190" spans="1:21" x14ac:dyDescent="0.35">
      <c r="A190" s="15" t="s">
        <v>287</v>
      </c>
      <c r="B190" s="2" t="s">
        <v>15</v>
      </c>
      <c r="C190" s="2" t="s">
        <v>9</v>
      </c>
      <c r="D190" s="2" t="s">
        <v>288</v>
      </c>
      <c r="E190" s="2">
        <v>15.3315</v>
      </c>
      <c r="F190" s="2">
        <v>38.918300000000002</v>
      </c>
      <c r="G190" s="2"/>
      <c r="H190" s="2"/>
      <c r="I190" s="2">
        <v>0</v>
      </c>
      <c r="J190" s="2">
        <v>0</v>
      </c>
      <c r="K190" s="2" t="b">
        <v>1</v>
      </c>
      <c r="L190" s="2" t="b">
        <v>1</v>
      </c>
      <c r="M190" s="2"/>
      <c r="N190" s="2"/>
      <c r="O190" s="2"/>
      <c r="P190" s="2"/>
      <c r="Q190" s="2"/>
      <c r="R190" s="2"/>
      <c r="S190" s="2"/>
      <c r="T190" s="2"/>
      <c r="U190" s="16"/>
    </row>
    <row r="191" spans="1:21" x14ac:dyDescent="0.35">
      <c r="A191" s="15" t="s">
        <v>321</v>
      </c>
      <c r="B191" s="2" t="s">
        <v>22</v>
      </c>
      <c r="C191" s="2" t="s">
        <v>3</v>
      </c>
      <c r="D191" s="2" t="s">
        <v>322</v>
      </c>
      <c r="E191" s="2">
        <v>61.892600000000002</v>
      </c>
      <c r="F191" s="2">
        <v>-6.91181</v>
      </c>
      <c r="G191" s="2"/>
      <c r="H191" s="2"/>
      <c r="I191" s="2">
        <v>0</v>
      </c>
      <c r="J191" s="2">
        <v>0</v>
      </c>
      <c r="K191" s="2" t="b">
        <v>1</v>
      </c>
      <c r="L191" s="2" t="b">
        <v>1</v>
      </c>
      <c r="M191" s="2"/>
      <c r="N191" s="2"/>
      <c r="O191" s="2"/>
      <c r="P191" s="2"/>
      <c r="Q191" s="2"/>
      <c r="R191" s="2"/>
      <c r="S191" s="2"/>
      <c r="T191" s="2"/>
      <c r="U191" s="16"/>
    </row>
    <row r="192" spans="1:21" x14ac:dyDescent="0.35">
      <c r="A192" s="15" t="s">
        <v>350</v>
      </c>
      <c r="B192" s="2" t="s">
        <v>22</v>
      </c>
      <c r="C192" s="2" t="s">
        <v>3</v>
      </c>
      <c r="D192" s="2"/>
      <c r="E192" s="2"/>
      <c r="F192" s="2"/>
      <c r="G192" s="2"/>
      <c r="H192" s="2"/>
      <c r="I192" s="2">
        <v>0</v>
      </c>
      <c r="J192" s="2">
        <v>0</v>
      </c>
      <c r="K192" s="2" t="b">
        <v>1</v>
      </c>
      <c r="L192" s="2" t="b">
        <v>1</v>
      </c>
      <c r="M192" s="2"/>
      <c r="N192" s="2"/>
      <c r="O192" s="2"/>
      <c r="P192" s="2"/>
      <c r="Q192" s="2"/>
      <c r="R192" s="2"/>
      <c r="S192" s="2"/>
      <c r="T192" s="2"/>
      <c r="U192" s="16"/>
    </row>
    <row r="193" spans="1:21" x14ac:dyDescent="0.35">
      <c r="A193" s="15" t="s">
        <v>381</v>
      </c>
      <c r="B193" s="2" t="s">
        <v>22</v>
      </c>
      <c r="C193" s="2" t="s">
        <v>3</v>
      </c>
      <c r="D193" s="2" t="s">
        <v>382</v>
      </c>
      <c r="E193" s="2">
        <v>64.183599999999998</v>
      </c>
      <c r="F193" s="2">
        <v>-51.721400000000003</v>
      </c>
      <c r="G193" s="2"/>
      <c r="H193" s="2"/>
      <c r="I193" s="2">
        <v>0</v>
      </c>
      <c r="J193" s="2">
        <v>0</v>
      </c>
      <c r="K193" s="2" t="b">
        <v>1</v>
      </c>
      <c r="L193" s="2" t="b">
        <v>1</v>
      </c>
      <c r="M193" s="2"/>
      <c r="N193" s="2"/>
      <c r="O193" s="2"/>
      <c r="P193" s="2"/>
      <c r="Q193" s="2"/>
      <c r="R193" s="2"/>
      <c r="S193" s="2"/>
      <c r="T193" s="2"/>
      <c r="U193" s="16"/>
    </row>
    <row r="194" spans="1:21" x14ac:dyDescent="0.35">
      <c r="A194" s="15" t="s">
        <v>428</v>
      </c>
      <c r="B194" s="2" t="s">
        <v>22</v>
      </c>
      <c r="C194" s="2" t="s">
        <v>3</v>
      </c>
      <c r="D194" s="2" t="s">
        <v>429</v>
      </c>
      <c r="E194" s="2">
        <v>54.1509</v>
      </c>
      <c r="F194" s="2">
        <v>-4.4792800000000002</v>
      </c>
      <c r="G194" s="2"/>
      <c r="H194" s="2"/>
      <c r="I194" s="2">
        <v>0</v>
      </c>
      <c r="J194" s="2">
        <v>0</v>
      </c>
      <c r="K194" s="2" t="b">
        <v>1</v>
      </c>
      <c r="L194" s="2" t="b">
        <v>1</v>
      </c>
      <c r="M194" s="2"/>
      <c r="N194" s="2"/>
      <c r="O194" s="2"/>
      <c r="P194" s="2"/>
      <c r="Q194" s="2"/>
      <c r="R194" s="2"/>
      <c r="S194" s="2"/>
      <c r="T194" s="2"/>
      <c r="U194" s="16"/>
    </row>
    <row r="195" spans="1:21" x14ac:dyDescent="0.35">
      <c r="A195" s="15" t="s">
        <v>546</v>
      </c>
      <c r="B195" s="2" t="s">
        <v>22</v>
      </c>
      <c r="C195" s="2" t="s">
        <v>3</v>
      </c>
      <c r="D195" s="2" t="s">
        <v>547</v>
      </c>
      <c r="E195" s="2">
        <v>47.141100000000002</v>
      </c>
      <c r="F195" s="2">
        <v>9.5214800000000004</v>
      </c>
      <c r="G195" s="2"/>
      <c r="H195" s="2"/>
      <c r="I195" s="2">
        <v>0</v>
      </c>
      <c r="J195" s="2">
        <v>0</v>
      </c>
      <c r="K195" s="2" t="b">
        <v>1</v>
      </c>
      <c r="L195" s="2" t="b">
        <v>1</v>
      </c>
      <c r="M195" s="2"/>
      <c r="N195" s="2"/>
      <c r="O195" s="2"/>
      <c r="P195" s="2"/>
      <c r="Q195" s="2"/>
      <c r="R195" s="2"/>
      <c r="S195" s="2"/>
      <c r="T195" s="2"/>
      <c r="U195" s="16"/>
    </row>
    <row r="196" spans="1:21" x14ac:dyDescent="0.35">
      <c r="A196" s="15" t="s">
        <v>199</v>
      </c>
      <c r="B196" s="2" t="s">
        <v>15</v>
      </c>
      <c r="C196" s="2" t="s">
        <v>9</v>
      </c>
      <c r="D196" s="2" t="s">
        <v>200</v>
      </c>
      <c r="E196" s="2">
        <v>-4.3250000000000002</v>
      </c>
      <c r="F196" s="2">
        <v>15.3222</v>
      </c>
      <c r="G196" s="2"/>
      <c r="H196" s="2"/>
      <c r="I196" s="2">
        <v>0</v>
      </c>
      <c r="J196" s="2">
        <v>0</v>
      </c>
      <c r="K196" s="2" t="b">
        <v>1</v>
      </c>
      <c r="L196" s="2" t="b">
        <v>1</v>
      </c>
      <c r="M196" s="2"/>
      <c r="N196" s="2"/>
      <c r="O196" s="2"/>
      <c r="P196" s="2"/>
      <c r="Q196" s="2"/>
      <c r="R196" s="2"/>
      <c r="S196" s="2"/>
      <c r="T196" s="2"/>
      <c r="U196" s="16"/>
    </row>
    <row r="197" spans="1:21" x14ac:dyDescent="0.35">
      <c r="A197" s="15" t="s">
        <v>228</v>
      </c>
      <c r="B197" s="2" t="s">
        <v>2</v>
      </c>
      <c r="C197" s="2" t="s">
        <v>23</v>
      </c>
      <c r="D197" s="2" t="s">
        <v>229</v>
      </c>
      <c r="E197" s="2">
        <v>23.133299999999998</v>
      </c>
      <c r="F197" s="2">
        <v>-82.366699999999994</v>
      </c>
      <c r="G197" s="2"/>
      <c r="H197" s="2"/>
      <c r="I197" s="2">
        <v>0</v>
      </c>
      <c r="J197" s="2">
        <v>0</v>
      </c>
      <c r="K197" s="2" t="b">
        <v>1</v>
      </c>
      <c r="L197" s="2" t="b">
        <v>1</v>
      </c>
      <c r="M197" s="2"/>
      <c r="N197" s="2"/>
      <c r="O197" s="2"/>
      <c r="P197" s="2"/>
      <c r="Q197" s="2"/>
      <c r="R197" s="2"/>
      <c r="S197" s="2"/>
      <c r="T197" s="2"/>
      <c r="U197" s="16"/>
    </row>
    <row r="198" spans="1:21" x14ac:dyDescent="0.35">
      <c r="A198" s="15" t="s">
        <v>993</v>
      </c>
      <c r="B198" s="2" t="s">
        <v>2</v>
      </c>
      <c r="C198" s="2" t="s">
        <v>3</v>
      </c>
      <c r="D198" s="2" t="s">
        <v>994</v>
      </c>
      <c r="E198" s="2">
        <v>18.335799999999999</v>
      </c>
      <c r="F198" s="2">
        <v>-64.896299999999997</v>
      </c>
      <c r="G198" s="2"/>
      <c r="H198" s="2"/>
      <c r="I198" s="2">
        <v>0</v>
      </c>
      <c r="J198" s="2">
        <v>0</v>
      </c>
      <c r="K198" s="2" t="b">
        <v>1</v>
      </c>
      <c r="L198" s="2" t="b">
        <v>1</v>
      </c>
      <c r="M198" s="2"/>
      <c r="N198" s="2"/>
      <c r="O198" s="2"/>
      <c r="P198" s="2"/>
      <c r="Q198" s="2"/>
      <c r="R198" s="2"/>
      <c r="S198" s="2"/>
      <c r="T198" s="2"/>
      <c r="U198" s="16"/>
    </row>
    <row r="199" spans="1:21" x14ac:dyDescent="0.35">
      <c r="A199" s="15" t="s">
        <v>946</v>
      </c>
      <c r="B199" s="2" t="s">
        <v>48</v>
      </c>
      <c r="C199" s="2" t="s">
        <v>23</v>
      </c>
      <c r="D199" s="2" t="s">
        <v>947</v>
      </c>
      <c r="E199" s="2">
        <v>-8.6314876999999992</v>
      </c>
      <c r="F199" s="2">
        <v>179.08956699999999</v>
      </c>
      <c r="G199" s="2"/>
      <c r="H199" s="2"/>
      <c r="I199" s="2">
        <v>0</v>
      </c>
      <c r="J199" s="2">
        <v>0</v>
      </c>
      <c r="K199" s="2" t="b">
        <v>1</v>
      </c>
      <c r="L199" s="2" t="b">
        <v>1</v>
      </c>
      <c r="M199" s="2"/>
      <c r="N199" s="2"/>
      <c r="O199" s="2"/>
      <c r="P199" s="2"/>
      <c r="Q199" s="2"/>
      <c r="R199" s="2"/>
      <c r="S199" s="2"/>
      <c r="T199" s="2"/>
      <c r="U199" s="16"/>
    </row>
    <row r="200" spans="1:21" x14ac:dyDescent="0.35">
      <c r="A200" s="15" t="s">
        <v>390</v>
      </c>
      <c r="B200" s="2" t="s">
        <v>48</v>
      </c>
      <c r="C200" s="2" t="s">
        <v>3</v>
      </c>
      <c r="D200" s="2" t="s">
        <v>391</v>
      </c>
      <c r="E200" s="2">
        <v>13.4443</v>
      </c>
      <c r="F200" s="2">
        <v>144.79400000000001</v>
      </c>
      <c r="G200" s="2"/>
      <c r="H200" s="2"/>
      <c r="I200" s="2">
        <v>0</v>
      </c>
      <c r="J200" s="2">
        <v>0</v>
      </c>
      <c r="K200" s="2" t="b">
        <v>1</v>
      </c>
      <c r="L200" s="2" t="b">
        <v>1</v>
      </c>
      <c r="M200" s="2"/>
      <c r="N200" s="2"/>
      <c r="O200" s="2"/>
      <c r="P200" s="2"/>
      <c r="Q200" s="2"/>
      <c r="R200" s="2"/>
      <c r="S200" s="2"/>
      <c r="T200" s="2"/>
      <c r="U200" s="16"/>
    </row>
    <row r="201" spans="1:21" x14ac:dyDescent="0.35">
      <c r="A201" s="15" t="s">
        <v>608</v>
      </c>
      <c r="B201" s="2" t="s">
        <v>48</v>
      </c>
      <c r="C201" s="2" t="s">
        <v>23</v>
      </c>
      <c r="D201" s="2" t="s">
        <v>609</v>
      </c>
      <c r="E201" s="2">
        <v>7.1104599999999998</v>
      </c>
      <c r="F201" s="2">
        <v>171.13499999999999</v>
      </c>
      <c r="G201" s="2"/>
      <c r="H201" s="2"/>
      <c r="I201" s="2">
        <v>0</v>
      </c>
      <c r="J201" s="2">
        <v>0</v>
      </c>
      <c r="K201" s="2" t="b">
        <v>1</v>
      </c>
      <c r="L201" s="2" t="b">
        <v>1</v>
      </c>
      <c r="M201" s="2"/>
      <c r="N201" s="2"/>
      <c r="O201" s="2"/>
      <c r="P201" s="2"/>
      <c r="Q201" s="2"/>
      <c r="R201" s="2"/>
      <c r="S201" s="2"/>
      <c r="T201" s="2"/>
      <c r="U201" s="16"/>
    </row>
    <row r="202" spans="1:21" x14ac:dyDescent="0.35">
      <c r="A202" s="15" t="s">
        <v>675</v>
      </c>
      <c r="B202" s="2" t="s">
        <v>48</v>
      </c>
      <c r="C202" s="2" t="s">
        <v>3</v>
      </c>
      <c r="D202" s="2" t="s">
        <v>676</v>
      </c>
      <c r="E202" s="2">
        <v>-22.267700000000001</v>
      </c>
      <c r="F202" s="2">
        <v>166.464</v>
      </c>
      <c r="G202" s="2"/>
      <c r="H202" s="2"/>
      <c r="I202" s="2">
        <v>0</v>
      </c>
      <c r="J202" s="2">
        <v>0</v>
      </c>
      <c r="K202" s="2" t="b">
        <v>1</v>
      </c>
      <c r="L202" s="2" t="b">
        <v>1</v>
      </c>
      <c r="M202" s="2"/>
      <c r="N202" s="2"/>
      <c r="O202" s="2"/>
      <c r="P202" s="2"/>
      <c r="Q202" s="2"/>
      <c r="R202" s="2"/>
      <c r="S202" s="2"/>
      <c r="T202" s="2"/>
      <c r="U202" s="16"/>
    </row>
    <row r="203" spans="1:21" x14ac:dyDescent="0.35">
      <c r="A203" s="15" t="s">
        <v>985</v>
      </c>
      <c r="B203" s="2" t="s">
        <v>2</v>
      </c>
      <c r="C203" s="2" t="s">
        <v>16</v>
      </c>
      <c r="D203" s="2" t="s">
        <v>986</v>
      </c>
      <c r="E203" s="2">
        <v>9.0816499999999998</v>
      </c>
      <c r="F203" s="2">
        <v>-69.837100000000007</v>
      </c>
      <c r="G203" s="2"/>
      <c r="H203" s="2"/>
      <c r="I203" s="2">
        <v>0</v>
      </c>
      <c r="J203" s="2">
        <v>0</v>
      </c>
      <c r="K203" s="2" t="b">
        <v>1</v>
      </c>
      <c r="L203" s="2" t="b">
        <v>1</v>
      </c>
      <c r="M203" s="2"/>
      <c r="N203" s="2"/>
      <c r="O203" s="2"/>
      <c r="P203" s="2"/>
      <c r="Q203" s="2"/>
      <c r="R203" s="2"/>
      <c r="S203" s="2"/>
      <c r="T203" s="2"/>
      <c r="U203" s="16"/>
    </row>
    <row r="204" spans="1:21" x14ac:dyDescent="0.35">
      <c r="A204" s="15" t="s">
        <v>758</v>
      </c>
      <c r="B204" s="2" t="s">
        <v>2</v>
      </c>
      <c r="C204" s="2" t="s">
        <v>3</v>
      </c>
      <c r="D204" s="2" t="s">
        <v>759</v>
      </c>
      <c r="E204" s="2">
        <v>18.23</v>
      </c>
      <c r="F204" s="2">
        <v>-66</v>
      </c>
      <c r="G204" s="2"/>
      <c r="H204" s="2"/>
      <c r="I204" s="2">
        <v>0</v>
      </c>
      <c r="J204" s="2">
        <v>0</v>
      </c>
      <c r="K204" s="2" t="b">
        <v>1</v>
      </c>
      <c r="L204" s="2" t="b">
        <v>1</v>
      </c>
      <c r="M204" s="2"/>
      <c r="N204" s="2"/>
      <c r="O204" s="2"/>
      <c r="P204" s="2"/>
      <c r="Q204" s="2"/>
      <c r="R204" s="2"/>
      <c r="S204" s="2"/>
      <c r="T204" s="2"/>
      <c r="U204" s="16"/>
    </row>
    <row r="205" spans="1:21" x14ac:dyDescent="0.35">
      <c r="A205" s="15" t="s">
        <v>762</v>
      </c>
      <c r="B205" s="2" t="s">
        <v>48</v>
      </c>
      <c r="C205" s="2" t="s">
        <v>9</v>
      </c>
      <c r="D205" s="2" t="s">
        <v>763</v>
      </c>
      <c r="E205" s="2">
        <v>39.0319</v>
      </c>
      <c r="F205" s="2">
        <v>125.754</v>
      </c>
      <c r="G205" s="2"/>
      <c r="H205" s="2"/>
      <c r="I205" s="2">
        <v>0</v>
      </c>
      <c r="J205" s="2">
        <v>0</v>
      </c>
      <c r="K205" s="2" t="b">
        <v>1</v>
      </c>
      <c r="L205" s="2" t="b">
        <v>1</v>
      </c>
      <c r="M205" s="2"/>
      <c r="N205" s="2"/>
      <c r="O205" s="2"/>
      <c r="P205" s="2"/>
      <c r="Q205" s="2"/>
      <c r="R205" s="2"/>
      <c r="S205" s="2"/>
      <c r="T205" s="2"/>
      <c r="U205" s="16"/>
    </row>
    <row r="206" spans="1:21" x14ac:dyDescent="0.35">
      <c r="A206" s="15" t="s">
        <v>709</v>
      </c>
      <c r="B206" s="2" t="s">
        <v>48</v>
      </c>
      <c r="C206" s="2" t="s">
        <v>3</v>
      </c>
      <c r="D206" s="2" t="s">
        <v>710</v>
      </c>
      <c r="E206" s="2">
        <v>-0.54769999999999996</v>
      </c>
      <c r="F206" s="2">
        <v>166.92086699999999</v>
      </c>
      <c r="G206" s="2"/>
      <c r="H206" s="2"/>
      <c r="I206" s="2">
        <v>0</v>
      </c>
      <c r="J206" s="2">
        <v>0</v>
      </c>
      <c r="K206" s="2" t="b">
        <v>1</v>
      </c>
      <c r="L206" s="2" t="b">
        <v>1</v>
      </c>
      <c r="M206" s="2"/>
      <c r="N206" s="2"/>
      <c r="O206" s="2"/>
      <c r="P206" s="2"/>
      <c r="Q206" s="2"/>
      <c r="R206" s="2"/>
      <c r="S206" s="2"/>
      <c r="T206" s="2"/>
      <c r="U206" s="16"/>
    </row>
    <row r="207" spans="1:21" x14ac:dyDescent="0.35">
      <c r="A207" s="15" t="s">
        <v>840</v>
      </c>
      <c r="B207" s="2" t="s">
        <v>15</v>
      </c>
      <c r="C207" s="2" t="s">
        <v>9</v>
      </c>
      <c r="D207" s="2" t="s">
        <v>841</v>
      </c>
      <c r="E207" s="2">
        <v>2.0751499999999998</v>
      </c>
      <c r="F207" s="2">
        <v>45.325400000000002</v>
      </c>
      <c r="G207" s="2"/>
      <c r="H207" s="2"/>
      <c r="I207" s="2">
        <v>0</v>
      </c>
      <c r="J207" s="2">
        <v>0</v>
      </c>
      <c r="K207" s="2" t="b">
        <v>1</v>
      </c>
      <c r="L207" s="2" t="b">
        <v>1</v>
      </c>
      <c r="M207" s="2"/>
      <c r="N207" s="2"/>
      <c r="O207" s="2"/>
      <c r="P207" s="2"/>
      <c r="Q207" s="2"/>
      <c r="R207" s="2"/>
      <c r="S207" s="2"/>
      <c r="T207" s="2"/>
      <c r="U207" s="16"/>
    </row>
    <row r="208" spans="1:21" x14ac:dyDescent="0.35">
      <c r="A208" s="15" t="s">
        <v>879</v>
      </c>
      <c r="B208" s="2" t="s">
        <v>15</v>
      </c>
      <c r="C208" s="2" t="s">
        <v>16</v>
      </c>
      <c r="D208" s="2" t="s">
        <v>880</v>
      </c>
      <c r="E208" s="2">
        <v>-26.522500000000001</v>
      </c>
      <c r="F208" s="2">
        <v>31.465900000000001</v>
      </c>
      <c r="G208" s="2"/>
      <c r="H208" s="2"/>
      <c r="I208" s="2">
        <v>0</v>
      </c>
      <c r="J208" s="2">
        <v>0</v>
      </c>
      <c r="K208" s="2" t="b">
        <v>1</v>
      </c>
      <c r="L208" s="2" t="b">
        <v>1</v>
      </c>
      <c r="M208" s="2"/>
      <c r="N208" s="2"/>
      <c r="O208" s="2"/>
      <c r="P208" s="2"/>
      <c r="Q208" s="2"/>
      <c r="R208" s="2"/>
      <c r="S208" s="2"/>
      <c r="T208" s="2"/>
      <c r="U208" s="16"/>
    </row>
    <row r="209" spans="1:21" x14ac:dyDescent="0.35">
      <c r="A209" s="15" t="s">
        <v>883</v>
      </c>
      <c r="B209" s="2" t="s">
        <v>2</v>
      </c>
      <c r="C209" s="2" t="s">
        <v>3</v>
      </c>
      <c r="D209" s="2" t="s">
        <v>884</v>
      </c>
      <c r="E209" s="2"/>
      <c r="F209" s="2"/>
      <c r="G209" s="2"/>
      <c r="H209" s="2"/>
      <c r="I209" s="2">
        <v>0</v>
      </c>
      <c r="J209" s="2">
        <v>0</v>
      </c>
      <c r="K209" s="2" t="b">
        <v>1</v>
      </c>
      <c r="L209" s="2" t="b">
        <v>1</v>
      </c>
      <c r="M209" s="2"/>
      <c r="N209" s="2"/>
      <c r="O209" s="2"/>
      <c r="P209" s="2"/>
      <c r="Q209" s="2"/>
      <c r="R209" s="2"/>
      <c r="S209" s="2"/>
      <c r="T209" s="2"/>
      <c r="U209" s="16"/>
    </row>
    <row r="210" spans="1:21" x14ac:dyDescent="0.35">
      <c r="A210" s="15" t="s">
        <v>890</v>
      </c>
      <c r="B210" s="2" t="s">
        <v>8</v>
      </c>
      <c r="C210" s="2" t="s">
        <v>9</v>
      </c>
      <c r="D210" s="2" t="s">
        <v>891</v>
      </c>
      <c r="E210" s="2">
        <v>33.514600000000002</v>
      </c>
      <c r="F210" s="2">
        <v>36.311900000000001</v>
      </c>
      <c r="G210" s="2"/>
      <c r="H210" s="2"/>
      <c r="I210" s="2">
        <v>0</v>
      </c>
      <c r="J210" s="2">
        <v>0</v>
      </c>
      <c r="K210" s="2" t="b">
        <v>1</v>
      </c>
      <c r="L210" s="2" t="b">
        <v>1</v>
      </c>
      <c r="M210" s="2"/>
      <c r="N210" s="2"/>
      <c r="O210" s="2"/>
      <c r="P210" s="2"/>
      <c r="Q210" s="2"/>
      <c r="R210" s="2"/>
      <c r="S210" s="2"/>
      <c r="T210" s="2"/>
      <c r="U210" s="16"/>
    </row>
    <row r="211" spans="1:21" x14ac:dyDescent="0.35">
      <c r="A211" s="15" t="s">
        <v>894</v>
      </c>
      <c r="B211" s="2" t="s">
        <v>2</v>
      </c>
      <c r="C211" s="2" t="s">
        <v>3</v>
      </c>
      <c r="D211" s="2" t="s">
        <v>895</v>
      </c>
      <c r="E211" s="2">
        <v>21.4602778</v>
      </c>
      <c r="F211" s="2">
        <v>-71.141389000000004</v>
      </c>
      <c r="G211" s="2"/>
      <c r="H211" s="2"/>
      <c r="I211" s="2">
        <v>0</v>
      </c>
      <c r="J211" s="2">
        <v>0</v>
      </c>
      <c r="K211" s="2" t="b">
        <v>1</v>
      </c>
      <c r="L211" s="2" t="b">
        <v>1</v>
      </c>
      <c r="M211" s="2"/>
      <c r="N211" s="2"/>
      <c r="O211" s="2"/>
      <c r="P211" s="2"/>
      <c r="Q211" s="2"/>
      <c r="R211" s="2"/>
      <c r="S211" s="2"/>
      <c r="T211" s="2"/>
      <c r="U211" s="16"/>
    </row>
    <row r="212" spans="1:21" x14ac:dyDescent="0.35">
      <c r="A212" s="15" t="s">
        <v>913</v>
      </c>
      <c r="B212" s="2" t="s">
        <v>22</v>
      </c>
      <c r="C212" s="2" t="s">
        <v>16</v>
      </c>
      <c r="D212" s="2" t="s">
        <v>914</v>
      </c>
      <c r="E212" s="2">
        <v>38.587800000000001</v>
      </c>
      <c r="F212" s="2">
        <v>68.7864</v>
      </c>
      <c r="G212" s="2"/>
      <c r="H212" s="2"/>
      <c r="I212" s="2">
        <v>0</v>
      </c>
      <c r="J212" s="2">
        <v>0</v>
      </c>
      <c r="K212" s="2" t="b">
        <v>1</v>
      </c>
      <c r="L212" s="2" t="b">
        <v>1</v>
      </c>
      <c r="M212" s="2"/>
      <c r="N212" s="2"/>
      <c r="O212" s="2"/>
      <c r="P212" s="2"/>
      <c r="Q212" s="2"/>
      <c r="R212" s="2"/>
      <c r="S212" s="2"/>
      <c r="T212" s="2"/>
      <c r="U212" s="16"/>
    </row>
    <row r="213" spans="1:21" x14ac:dyDescent="0.35">
      <c r="A213" s="15" t="s">
        <v>917</v>
      </c>
      <c r="B213" s="2" t="s">
        <v>22</v>
      </c>
      <c r="C213" s="2" t="s">
        <v>23</v>
      </c>
      <c r="D213" s="2" t="s">
        <v>918</v>
      </c>
      <c r="E213" s="2">
        <v>37.950899999999997</v>
      </c>
      <c r="F213" s="2">
        <v>58.379399999999997</v>
      </c>
      <c r="G213" s="2"/>
      <c r="H213" s="2"/>
      <c r="I213" s="2">
        <v>0</v>
      </c>
      <c r="J213" s="2">
        <v>0</v>
      </c>
      <c r="K213" s="2" t="b">
        <v>1</v>
      </c>
      <c r="L213" s="2" t="b">
        <v>1</v>
      </c>
      <c r="M213" s="2"/>
      <c r="N213" s="2"/>
      <c r="O213" s="2"/>
      <c r="P213" s="2"/>
      <c r="Q213" s="2"/>
      <c r="R213" s="2"/>
      <c r="S213" s="2"/>
      <c r="T213" s="2"/>
      <c r="U213" s="16"/>
    </row>
    <row r="214" spans="1:21" x14ac:dyDescent="0.35">
      <c r="A214" s="15" t="s">
        <v>778</v>
      </c>
      <c r="B214" s="2" t="s">
        <v>48</v>
      </c>
      <c r="C214" s="2" t="s">
        <v>3</v>
      </c>
      <c r="D214" s="2" t="s">
        <v>779</v>
      </c>
      <c r="E214" s="2">
        <v>-17.535</v>
      </c>
      <c r="F214" s="2">
        <v>-149.57</v>
      </c>
      <c r="G214" s="2"/>
      <c r="H214" s="2"/>
      <c r="I214" s="2">
        <v>0</v>
      </c>
      <c r="J214" s="2">
        <v>0</v>
      </c>
      <c r="K214" s="2" t="b">
        <v>1</v>
      </c>
      <c r="L214" s="2" t="b">
        <v>1</v>
      </c>
      <c r="M214" s="2"/>
      <c r="N214" s="2"/>
      <c r="O214" s="2"/>
      <c r="P214" s="2"/>
      <c r="Q214" s="2"/>
      <c r="R214" s="2"/>
      <c r="S214" s="2"/>
      <c r="T214" s="2"/>
      <c r="U214" s="16"/>
    </row>
    <row r="215" spans="1:21" x14ac:dyDescent="0.35">
      <c r="A215" s="15" t="s">
        <v>989</v>
      </c>
      <c r="B215" s="2" t="s">
        <v>2</v>
      </c>
      <c r="C215" s="2" t="s">
        <v>3</v>
      </c>
      <c r="D215" s="2" t="s">
        <v>990</v>
      </c>
      <c r="E215" s="2">
        <v>18.431388999999999</v>
      </c>
      <c r="F215" s="2">
        <v>-64.623056000000005</v>
      </c>
      <c r="G215" s="2"/>
      <c r="H215" s="2"/>
      <c r="I215" s="2">
        <v>0</v>
      </c>
      <c r="J215" s="2">
        <v>0</v>
      </c>
      <c r="K215" s="2" t="b">
        <v>1</v>
      </c>
      <c r="L215" s="2" t="b">
        <v>1</v>
      </c>
      <c r="M215" s="2"/>
      <c r="N215" s="2"/>
      <c r="O215" s="2"/>
      <c r="P215" s="2"/>
      <c r="Q215" s="2"/>
      <c r="R215" s="2"/>
      <c r="S215" s="2"/>
      <c r="T215" s="2"/>
      <c r="U215" s="16"/>
    </row>
    <row r="216" spans="1:21" x14ac:dyDescent="0.35">
      <c r="A216" s="15" t="s">
        <v>148</v>
      </c>
      <c r="B216" s="2" t="s">
        <v>48</v>
      </c>
      <c r="C216" s="2" t="s">
        <v>3</v>
      </c>
      <c r="D216" s="2" t="s">
        <v>149</v>
      </c>
      <c r="E216" s="2">
        <v>4.9419899999999997</v>
      </c>
      <c r="F216" s="2">
        <v>114.946</v>
      </c>
      <c r="G216" s="2" t="s">
        <v>152</v>
      </c>
      <c r="H216" s="2">
        <v>2024</v>
      </c>
      <c r="I216" s="2">
        <v>-0.38867416503646102</v>
      </c>
      <c r="J216" s="2">
        <v>0</v>
      </c>
      <c r="K216" s="2" t="b">
        <v>1</v>
      </c>
      <c r="L216" s="2" t="b">
        <v>1</v>
      </c>
      <c r="M216" s="2"/>
      <c r="N216" s="2"/>
      <c r="O216" s="2"/>
      <c r="P216" s="2"/>
      <c r="Q216" s="2"/>
      <c r="R216" s="2"/>
      <c r="S216" s="2"/>
      <c r="T216" s="2"/>
      <c r="U216" s="16"/>
    </row>
    <row r="217" spans="1:21" x14ac:dyDescent="0.35">
      <c r="A217" s="15" t="s">
        <v>223</v>
      </c>
      <c r="B217" s="2" t="s">
        <v>2</v>
      </c>
      <c r="C217" s="2" t="s">
        <v>3</v>
      </c>
      <c r="D217" s="2" t="s">
        <v>224</v>
      </c>
      <c r="E217" s="2">
        <v>9.6370100000000001</v>
      </c>
      <c r="F217" s="2">
        <v>-84.008899999999997</v>
      </c>
      <c r="G217" s="2" t="s">
        <v>227</v>
      </c>
      <c r="H217" s="2">
        <v>2024</v>
      </c>
      <c r="I217" s="2">
        <v>-0.41285300104706901</v>
      </c>
      <c r="J217" s="2">
        <v>0</v>
      </c>
      <c r="K217" s="2" t="b">
        <v>1</v>
      </c>
      <c r="L217" s="2" t="b">
        <v>1</v>
      </c>
      <c r="M217" s="2"/>
      <c r="N217" s="2"/>
      <c r="O217" s="2"/>
      <c r="P217" s="2"/>
      <c r="Q217" s="2"/>
      <c r="R217" s="2"/>
      <c r="S217" s="2"/>
      <c r="T217" s="2"/>
      <c r="U217" s="16"/>
    </row>
    <row r="218" spans="1:21" x14ac:dyDescent="0.35">
      <c r="A218" s="15" t="s">
        <v>541</v>
      </c>
      <c r="B218" s="2" t="s">
        <v>2</v>
      </c>
      <c r="C218" s="2" t="s">
        <v>23</v>
      </c>
      <c r="D218" s="2" t="s">
        <v>542</v>
      </c>
      <c r="E218" s="2">
        <v>14</v>
      </c>
      <c r="F218" s="2">
        <v>-60.983199999999997</v>
      </c>
      <c r="G218" s="2" t="s">
        <v>545</v>
      </c>
      <c r="H218" s="2">
        <v>2024</v>
      </c>
      <c r="I218" s="2">
        <v>-0.67424085341877904</v>
      </c>
      <c r="J218" s="2">
        <v>0</v>
      </c>
      <c r="K218" s="2" t="b">
        <v>1</v>
      </c>
      <c r="L218" s="2" t="b">
        <v>1</v>
      </c>
      <c r="M218" s="2"/>
      <c r="N218" s="2"/>
      <c r="O218" s="2"/>
      <c r="P218" s="2"/>
      <c r="Q218" s="2"/>
      <c r="R218" s="2"/>
      <c r="S218" s="2"/>
      <c r="T218" s="2"/>
      <c r="U218" s="16"/>
    </row>
    <row r="219" spans="1:21" x14ac:dyDescent="0.35">
      <c r="A219" s="17"/>
      <c r="B219" s="18"/>
      <c r="C219" s="18"/>
      <c r="D219" s="18"/>
      <c r="E219" s="18"/>
      <c r="F219" s="18"/>
      <c r="G219" s="18"/>
      <c r="H219" s="18"/>
      <c r="I219" s="18"/>
      <c r="J219" s="18"/>
      <c r="K219" s="18"/>
      <c r="L219" s="18"/>
      <c r="M219" s="18"/>
      <c r="N219" s="18"/>
      <c r="O219" s="18"/>
      <c r="P219" s="18"/>
      <c r="Q219" s="18"/>
      <c r="R219" s="18"/>
      <c r="S219" s="18"/>
      <c r="T219" s="18"/>
      <c r="U219" s="1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265A-CAE7-41EB-9DDA-AD92DC0589F7}">
  <dimension ref="A2:N124"/>
  <sheetViews>
    <sheetView topLeftCell="C31" workbookViewId="0">
      <selection activeCell="X9" sqref="X9"/>
    </sheetView>
  </sheetViews>
  <sheetFormatPr defaultRowHeight="14.5" x14ac:dyDescent="0.35"/>
  <cols>
    <col min="1" max="1" width="14.1796875" bestFit="1" customWidth="1"/>
    <col min="2" max="2" width="27.08984375" bestFit="1" customWidth="1"/>
    <col min="3" max="3" width="21.90625" bestFit="1" customWidth="1"/>
    <col min="6" max="6" width="12.6328125" customWidth="1"/>
    <col min="7" max="7" width="14" customWidth="1"/>
    <col min="8" max="8" width="15.6328125" customWidth="1"/>
    <col min="9" max="9" width="12.08984375" customWidth="1"/>
    <col min="10" max="10" width="11.6328125" customWidth="1"/>
    <col min="11" max="11" width="10.08984375" customWidth="1"/>
    <col min="12" max="12" width="11.08984375" customWidth="1"/>
  </cols>
  <sheetData>
    <row r="2" spans="1:14" ht="15.5" x14ac:dyDescent="0.35">
      <c r="A2" s="30" t="s">
        <v>1105</v>
      </c>
      <c r="B2" s="31"/>
      <c r="C2" s="31"/>
      <c r="D2" s="31"/>
      <c r="E2" s="31"/>
      <c r="F2" s="31"/>
      <c r="G2" s="31"/>
      <c r="H2" s="31"/>
      <c r="I2" s="31"/>
      <c r="J2" s="31"/>
      <c r="K2" s="31"/>
      <c r="L2" s="31"/>
      <c r="M2" s="31"/>
      <c r="N2" s="31"/>
    </row>
    <row r="3" spans="1:14" ht="22" x14ac:dyDescent="0.65">
      <c r="C3" s="8" t="s">
        <v>1103</v>
      </c>
      <c r="D3" s="29" t="s">
        <v>1104</v>
      </c>
    </row>
    <row r="4" spans="1:14" x14ac:dyDescent="0.35">
      <c r="A4" s="3" t="s">
        <v>1068</v>
      </c>
      <c r="B4" t="s">
        <v>1058</v>
      </c>
    </row>
    <row r="5" spans="1:14" x14ac:dyDescent="0.35">
      <c r="A5" s="4">
        <v>2022</v>
      </c>
      <c r="B5" s="46">
        <v>82.974124875072562</v>
      </c>
    </row>
    <row r="6" spans="1:14" x14ac:dyDescent="0.35">
      <c r="A6" s="4">
        <v>2023</v>
      </c>
      <c r="B6" s="46">
        <v>4.8315067184826148</v>
      </c>
    </row>
    <row r="7" spans="1:14" x14ac:dyDescent="0.35">
      <c r="A7" s="4">
        <v>2024</v>
      </c>
      <c r="B7" s="46">
        <v>7.4640096995203757</v>
      </c>
    </row>
    <row r="8" spans="1:14" x14ac:dyDescent="0.35">
      <c r="A8" s="4" t="s">
        <v>1056</v>
      </c>
      <c r="B8" s="46">
        <v>8.7001289149649583</v>
      </c>
    </row>
    <row r="23" spans="1:14" ht="15.5" x14ac:dyDescent="0.35">
      <c r="A23" s="30" t="s">
        <v>1106</v>
      </c>
      <c r="B23" s="31"/>
      <c r="C23" s="31"/>
      <c r="D23" s="31"/>
      <c r="E23" s="31"/>
      <c r="F23" s="31"/>
      <c r="G23" s="31"/>
      <c r="H23" s="31"/>
      <c r="I23" s="31"/>
      <c r="J23" s="31"/>
      <c r="K23" s="31"/>
      <c r="L23" s="31"/>
      <c r="M23" s="31"/>
      <c r="N23" s="31"/>
    </row>
    <row r="25" spans="1:14" ht="17" x14ac:dyDescent="0.5">
      <c r="D25" s="8" t="s">
        <v>1066</v>
      </c>
    </row>
    <row r="26" spans="1:14" ht="15" x14ac:dyDescent="0.35">
      <c r="A26" s="32" t="s">
        <v>1107</v>
      </c>
    </row>
    <row r="27" spans="1:14" x14ac:dyDescent="0.35">
      <c r="A27" s="3" t="s">
        <v>1043</v>
      </c>
      <c r="B27" t="s">
        <v>1216</v>
      </c>
    </row>
    <row r="29" spans="1:14" x14ac:dyDescent="0.35">
      <c r="A29" s="3" t="s">
        <v>1055</v>
      </c>
      <c r="B29" t="s">
        <v>1058</v>
      </c>
    </row>
    <row r="30" spans="1:14" x14ac:dyDescent="0.35">
      <c r="A30" s="4" t="s">
        <v>37</v>
      </c>
      <c r="B30" s="46">
        <v>219.883929014578</v>
      </c>
    </row>
    <row r="31" spans="1:14" x14ac:dyDescent="0.35">
      <c r="A31" s="4" t="s">
        <v>442</v>
      </c>
      <c r="B31" s="46">
        <v>32.455871402916998</v>
      </c>
    </row>
    <row r="32" spans="1:14" x14ac:dyDescent="0.35">
      <c r="A32" s="4" t="s">
        <v>526</v>
      </c>
      <c r="B32" s="46">
        <v>45.243042271671797</v>
      </c>
    </row>
    <row r="33" spans="1:4" x14ac:dyDescent="0.35">
      <c r="A33" s="4" t="s">
        <v>660</v>
      </c>
      <c r="B33" s="46">
        <v>32.179650422502498</v>
      </c>
    </row>
    <row r="34" spans="1:4" x14ac:dyDescent="0.35">
      <c r="A34" s="4" t="s">
        <v>684</v>
      </c>
      <c r="B34" s="46">
        <v>33.241659055274901</v>
      </c>
    </row>
    <row r="35" spans="1:4" x14ac:dyDescent="0.35">
      <c r="A35" s="4" t="s">
        <v>849</v>
      </c>
      <c r="B35" s="46">
        <v>91.440822076904595</v>
      </c>
    </row>
    <row r="36" spans="1:4" x14ac:dyDescent="0.35">
      <c r="A36" s="4" t="s">
        <v>807</v>
      </c>
      <c r="B36" s="46">
        <v>138.80846024176</v>
      </c>
    </row>
    <row r="37" spans="1:4" x14ac:dyDescent="0.35">
      <c r="A37" s="4" t="s">
        <v>941</v>
      </c>
      <c r="B37" s="46">
        <v>58.506450730034203</v>
      </c>
    </row>
    <row r="38" spans="1:4" x14ac:dyDescent="0.35">
      <c r="A38" s="4" t="s">
        <v>776</v>
      </c>
      <c r="B38" s="46">
        <v>53.669145830378199</v>
      </c>
    </row>
    <row r="39" spans="1:4" x14ac:dyDescent="0.35">
      <c r="A39" s="4" t="s">
        <v>1031</v>
      </c>
      <c r="B39" s="46">
        <v>104.70517062866701</v>
      </c>
    </row>
    <row r="40" spans="1:4" x14ac:dyDescent="0.35">
      <c r="A40" s="4" t="s">
        <v>1056</v>
      </c>
      <c r="B40" s="46">
        <v>81.013420167468823</v>
      </c>
    </row>
    <row r="44" spans="1:4" ht="17" x14ac:dyDescent="0.5">
      <c r="A44" s="32" t="s">
        <v>1108</v>
      </c>
      <c r="D44" s="8" t="s">
        <v>1109</v>
      </c>
    </row>
    <row r="45" spans="1:4" x14ac:dyDescent="0.35">
      <c r="A45" s="3" t="s">
        <v>1055</v>
      </c>
      <c r="B45" t="s">
        <v>1058</v>
      </c>
    </row>
    <row r="46" spans="1:4" x14ac:dyDescent="0.35">
      <c r="A46" s="4" t="s">
        <v>7</v>
      </c>
      <c r="B46" s="46">
        <v>-6.6011856407372598</v>
      </c>
    </row>
    <row r="47" spans="1:4" x14ac:dyDescent="0.35">
      <c r="A47" s="4" t="s">
        <v>42</v>
      </c>
      <c r="B47" s="46">
        <v>0.26951197825912498</v>
      </c>
    </row>
    <row r="48" spans="1:4" x14ac:dyDescent="0.35">
      <c r="A48" s="4" t="s">
        <v>108</v>
      </c>
      <c r="B48" s="46">
        <v>0.40916248908328601</v>
      </c>
    </row>
    <row r="49" spans="1:14" x14ac:dyDescent="0.35">
      <c r="A49" s="4" t="s">
        <v>148</v>
      </c>
      <c r="B49" s="46">
        <v>-0.38867416503646102</v>
      </c>
    </row>
    <row r="50" spans="1:14" x14ac:dyDescent="0.35">
      <c r="A50" s="4" t="s">
        <v>184</v>
      </c>
      <c r="B50" s="46">
        <v>0.21812893843917699</v>
      </c>
    </row>
    <row r="51" spans="1:14" x14ac:dyDescent="0.35">
      <c r="A51" s="4" t="s">
        <v>223</v>
      </c>
      <c r="B51" s="46">
        <v>-0.41285300104706901</v>
      </c>
    </row>
    <row r="52" spans="1:14" x14ac:dyDescent="0.35">
      <c r="A52" s="4" t="s">
        <v>885</v>
      </c>
      <c r="B52" s="46">
        <v>0.31172605091966799</v>
      </c>
    </row>
    <row r="53" spans="1:14" x14ac:dyDescent="0.35">
      <c r="A53" s="4" t="s">
        <v>550</v>
      </c>
      <c r="B53" s="46">
        <v>-0.42936004906973002</v>
      </c>
    </row>
    <row r="54" spans="1:14" x14ac:dyDescent="0.35">
      <c r="A54" s="4" t="s">
        <v>541</v>
      </c>
      <c r="B54" s="46">
        <v>-0.67424085341877904</v>
      </c>
    </row>
    <row r="55" spans="1:14" x14ac:dyDescent="0.35">
      <c r="A55" s="4" t="s">
        <v>908</v>
      </c>
      <c r="B55" s="46">
        <v>0.39833333333342202</v>
      </c>
    </row>
    <row r="56" spans="1:14" x14ac:dyDescent="0.35">
      <c r="A56" s="4" t="s">
        <v>1056</v>
      </c>
      <c r="B56" s="46">
        <v>-0.68994509192746212</v>
      </c>
    </row>
    <row r="64" spans="1:14" ht="15.5" x14ac:dyDescent="0.35">
      <c r="A64" s="30" t="s">
        <v>1110</v>
      </c>
      <c r="B64" s="31"/>
      <c r="C64" s="31"/>
      <c r="D64" s="31"/>
      <c r="E64" s="31"/>
      <c r="F64" s="31"/>
      <c r="G64" s="31"/>
      <c r="H64" s="31"/>
      <c r="I64" s="31"/>
      <c r="J64" s="31"/>
      <c r="K64" s="31"/>
      <c r="L64" s="31"/>
      <c r="M64" s="31"/>
      <c r="N64" s="31"/>
    </row>
    <row r="65" spans="1:4" ht="17" x14ac:dyDescent="0.5">
      <c r="D65" s="8" t="s">
        <v>1111</v>
      </c>
    </row>
    <row r="67" spans="1:4" x14ac:dyDescent="0.35">
      <c r="A67" s="3" t="s">
        <v>1055</v>
      </c>
      <c r="B67" t="s">
        <v>1061</v>
      </c>
    </row>
    <row r="68" spans="1:4" x14ac:dyDescent="0.35">
      <c r="A68" s="4" t="s">
        <v>57</v>
      </c>
      <c r="B68" s="46">
        <v>69.5</v>
      </c>
    </row>
    <row r="69" spans="1:4" x14ac:dyDescent="0.35">
      <c r="A69" s="4" t="s">
        <v>143</v>
      </c>
      <c r="B69" s="46">
        <v>75.2</v>
      </c>
    </row>
    <row r="70" spans="1:4" x14ac:dyDescent="0.35">
      <c r="A70" s="4" t="s">
        <v>262</v>
      </c>
      <c r="B70" s="46">
        <v>72.099999999999994</v>
      </c>
    </row>
    <row r="71" spans="1:4" x14ac:dyDescent="0.35">
      <c r="A71" s="4" t="s">
        <v>452</v>
      </c>
      <c r="B71" s="46">
        <v>78.2</v>
      </c>
    </row>
    <row r="72" spans="1:4" x14ac:dyDescent="0.35">
      <c r="A72" s="4" t="s">
        <v>699</v>
      </c>
      <c r="B72" s="46">
        <v>73.8</v>
      </c>
    </row>
    <row r="73" spans="1:4" x14ac:dyDescent="0.35">
      <c r="A73" s="4" t="s">
        <v>782</v>
      </c>
      <c r="B73" s="46">
        <v>70.8</v>
      </c>
    </row>
    <row r="74" spans="1:4" x14ac:dyDescent="0.35">
      <c r="A74" s="4" t="s">
        <v>817</v>
      </c>
      <c r="B74" s="46">
        <v>80.900000000000006</v>
      </c>
    </row>
    <row r="75" spans="1:4" x14ac:dyDescent="0.35">
      <c r="A75" s="4" t="s">
        <v>173</v>
      </c>
      <c r="B75" s="46">
        <v>82.3</v>
      </c>
    </row>
    <row r="76" spans="1:4" x14ac:dyDescent="0.35">
      <c r="A76" s="4" t="s">
        <v>32</v>
      </c>
      <c r="B76" s="46">
        <v>72.400000000000006</v>
      </c>
    </row>
    <row r="77" spans="1:4" x14ac:dyDescent="0.35">
      <c r="A77" s="4" t="s">
        <v>970</v>
      </c>
      <c r="B77" s="46">
        <v>74.3</v>
      </c>
    </row>
    <row r="78" spans="1:4" x14ac:dyDescent="0.35">
      <c r="A78" s="4" t="s">
        <v>1056</v>
      </c>
      <c r="B78" s="46">
        <v>749.49999999999989</v>
      </c>
    </row>
    <row r="90" spans="1:14" ht="15.5" x14ac:dyDescent="0.35">
      <c r="A90" s="30" t="s">
        <v>1112</v>
      </c>
      <c r="B90" s="31"/>
      <c r="C90" s="31"/>
      <c r="D90" s="31"/>
      <c r="E90" s="31"/>
      <c r="F90" s="31"/>
      <c r="G90" s="31"/>
      <c r="H90" s="31"/>
      <c r="I90" s="31"/>
      <c r="J90" s="31"/>
      <c r="K90" s="31"/>
      <c r="L90" s="31"/>
      <c r="M90" s="31"/>
      <c r="N90" s="31"/>
    </row>
    <row r="91" spans="1:14" ht="17" x14ac:dyDescent="0.5">
      <c r="D91" s="8" t="s">
        <v>1062</v>
      </c>
    </row>
    <row r="92" spans="1:14" x14ac:dyDescent="0.35">
      <c r="A92" s="3" t="s">
        <v>1067</v>
      </c>
      <c r="B92" t="s">
        <v>1058</v>
      </c>
    </row>
    <row r="93" spans="1:14" x14ac:dyDescent="0.35">
      <c r="A93" s="4" t="s">
        <v>486</v>
      </c>
      <c r="B93" s="46">
        <v>4.4897885424344803</v>
      </c>
    </row>
    <row r="94" spans="1:14" x14ac:dyDescent="0.35">
      <c r="A94" s="4" t="s">
        <v>684</v>
      </c>
      <c r="B94" s="46">
        <v>33.241659055274901</v>
      </c>
    </row>
    <row r="95" spans="1:14" x14ac:dyDescent="0.35">
      <c r="A95" s="4" t="s">
        <v>1021</v>
      </c>
      <c r="B95" s="46">
        <v>4.3611524651896199</v>
      </c>
    </row>
    <row r="96" spans="1:14" x14ac:dyDescent="0.35">
      <c r="A96" s="4" t="s">
        <v>335</v>
      </c>
      <c r="B96" s="46">
        <v>3.2715729463591998</v>
      </c>
    </row>
    <row r="97" spans="1:2" x14ac:dyDescent="0.35">
      <c r="A97" s="4" t="s">
        <v>970</v>
      </c>
      <c r="B97" s="46">
        <v>2.9495252048520699</v>
      </c>
    </row>
    <row r="98" spans="1:2" x14ac:dyDescent="0.35">
      <c r="A98" s="4" t="s">
        <v>1056</v>
      </c>
      <c r="B98" s="46">
        <v>9.6627396428220553</v>
      </c>
    </row>
    <row r="114" spans="1:14" ht="15.5" x14ac:dyDescent="0.35">
      <c r="A114" s="30" t="s">
        <v>1113</v>
      </c>
      <c r="B114" s="31"/>
      <c r="C114" s="31"/>
      <c r="D114" s="31"/>
      <c r="E114" s="31"/>
      <c r="F114" s="31"/>
      <c r="G114" s="31"/>
      <c r="H114" s="31"/>
      <c r="I114" s="31"/>
      <c r="J114" s="31"/>
      <c r="K114" s="31"/>
      <c r="L114" s="31"/>
      <c r="M114" s="31"/>
      <c r="N114" s="31"/>
    </row>
    <row r="115" spans="1:14" ht="17" x14ac:dyDescent="0.5">
      <c r="E115" s="8" t="s">
        <v>1065</v>
      </c>
    </row>
    <row r="116" spans="1:14" x14ac:dyDescent="0.35">
      <c r="A116" s="3" t="s">
        <v>1038</v>
      </c>
      <c r="B116" t="s">
        <v>1063</v>
      </c>
      <c r="C116" t="s">
        <v>1064</v>
      </c>
    </row>
    <row r="117" spans="1:14" x14ac:dyDescent="0.35">
      <c r="A117" s="4" t="s">
        <v>48</v>
      </c>
      <c r="B117" s="46">
        <v>3.1343173497748973</v>
      </c>
      <c r="C117" s="46">
        <v>57.509090909090901</v>
      </c>
    </row>
    <row r="118" spans="1:14" x14ac:dyDescent="0.35">
      <c r="A118" s="4" t="s">
        <v>22</v>
      </c>
      <c r="B118" s="46">
        <v>4.4257151548708027</v>
      </c>
      <c r="C118" s="46">
        <v>66.646153846153851</v>
      </c>
    </row>
    <row r="119" spans="1:14" x14ac:dyDescent="0.35">
      <c r="A119" s="4" t="s">
        <v>2</v>
      </c>
      <c r="B119" s="46">
        <v>11.208233742428629</v>
      </c>
      <c r="C119" s="46">
        <v>59.79999999999999</v>
      </c>
    </row>
    <row r="120" spans="1:14" x14ac:dyDescent="0.35">
      <c r="A120" s="4" t="s">
        <v>8</v>
      </c>
      <c r="B120" s="46">
        <v>9.5271644417400836</v>
      </c>
      <c r="C120" s="46">
        <v>61.287500000000001</v>
      </c>
    </row>
    <row r="121" spans="1:14" x14ac:dyDescent="0.35">
      <c r="A121" s="4" t="s">
        <v>129</v>
      </c>
      <c r="B121" s="46">
        <v>2.6655545188318999</v>
      </c>
      <c r="C121" s="46">
        <v>69.849999999999994</v>
      </c>
    </row>
    <row r="122" spans="1:14" x14ac:dyDescent="0.35">
      <c r="A122" s="4" t="s">
        <v>93</v>
      </c>
      <c r="B122" s="46">
        <v>3.9744618758346832</v>
      </c>
      <c r="C122" s="46">
        <v>48.325000000000003</v>
      </c>
    </row>
    <row r="123" spans="1:14" x14ac:dyDescent="0.35">
      <c r="A123" s="4" t="s">
        <v>15</v>
      </c>
      <c r="B123" s="46">
        <v>15.535422734466062</v>
      </c>
      <c r="C123" s="46">
        <v>45.5</v>
      </c>
    </row>
    <row r="124" spans="1:14" x14ac:dyDescent="0.35">
      <c r="A124" s="4" t="s">
        <v>1056</v>
      </c>
      <c r="B124" s="46">
        <v>8.7001289149649619</v>
      </c>
      <c r="C124" s="46">
        <v>60.29534883720931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BDE5A-32B3-453A-9B72-EA65DCBFC00E}">
  <dimension ref="A3:Q46"/>
  <sheetViews>
    <sheetView tabSelected="1" topLeftCell="A19" zoomScaleNormal="100" workbookViewId="0">
      <selection activeCell="E25" sqref="E25"/>
    </sheetView>
  </sheetViews>
  <sheetFormatPr defaultRowHeight="14.5" x14ac:dyDescent="0.35"/>
  <cols>
    <col min="1" max="1" width="27.54296875" customWidth="1"/>
    <col min="2" max="2" width="13.36328125" customWidth="1"/>
    <col min="3" max="3" width="21.453125" customWidth="1"/>
    <col min="6" max="6" width="11.1796875" customWidth="1"/>
  </cols>
  <sheetData>
    <row r="3" spans="1:17" ht="15.5" x14ac:dyDescent="0.35">
      <c r="A3" s="30" t="s">
        <v>1114</v>
      </c>
      <c r="B3" s="31"/>
      <c r="C3" s="31"/>
      <c r="D3" s="31"/>
      <c r="E3" s="31"/>
      <c r="F3" s="31"/>
      <c r="G3" s="31"/>
      <c r="H3" s="31"/>
      <c r="I3" s="31"/>
      <c r="J3" s="31"/>
      <c r="K3" s="31"/>
      <c r="L3" s="31"/>
      <c r="M3" s="31"/>
      <c r="N3" s="31"/>
      <c r="O3" s="31"/>
      <c r="P3" s="31"/>
      <c r="Q3" s="31"/>
    </row>
    <row r="4" spans="1:17" ht="15.5" x14ac:dyDescent="0.35">
      <c r="A4" s="10"/>
    </row>
    <row r="5" spans="1:17" ht="17.5" thickBot="1" x14ac:dyDescent="0.55000000000000004">
      <c r="B5" s="9" t="s">
        <v>1059</v>
      </c>
    </row>
    <row r="6" spans="1:17" x14ac:dyDescent="0.35">
      <c r="A6" s="7"/>
      <c r="B6" s="7" t="s">
        <v>1044</v>
      </c>
      <c r="C6" s="7" t="s">
        <v>1046</v>
      </c>
      <c r="D6" s="7" t="s">
        <v>1047</v>
      </c>
      <c r="E6" s="7" t="s">
        <v>1048</v>
      </c>
      <c r="F6" s="7" t="s">
        <v>1045</v>
      </c>
      <c r="G6" s="7" t="s">
        <v>1049</v>
      </c>
      <c r="H6" s="7" t="s">
        <v>1052</v>
      </c>
      <c r="I6" s="7" t="s">
        <v>1051</v>
      </c>
      <c r="J6" s="7" t="s">
        <v>1050</v>
      </c>
      <c r="K6" s="7" t="s">
        <v>1053</v>
      </c>
      <c r="L6" s="7" t="s">
        <v>1054</v>
      </c>
    </row>
    <row r="7" spans="1:17" x14ac:dyDescent="0.35">
      <c r="A7" t="s">
        <v>1044</v>
      </c>
      <c r="B7">
        <v>1</v>
      </c>
    </row>
    <row r="8" spans="1:17" x14ac:dyDescent="0.35">
      <c r="A8" t="s">
        <v>1046</v>
      </c>
      <c r="B8" s="5">
        <v>-0.32120959237080565</v>
      </c>
      <c r="C8">
        <v>1</v>
      </c>
    </row>
    <row r="9" spans="1:17" x14ac:dyDescent="0.35">
      <c r="A9" t="s">
        <v>1047</v>
      </c>
      <c r="B9">
        <v>-0.25194929869618665</v>
      </c>
      <c r="C9">
        <v>0.9698497988778354</v>
      </c>
      <c r="D9">
        <v>1</v>
      </c>
    </row>
    <row r="10" spans="1:17" x14ac:dyDescent="0.35">
      <c r="A10" t="s">
        <v>1048</v>
      </c>
      <c r="B10">
        <v>-0.32726157337849082</v>
      </c>
      <c r="C10">
        <v>0.99685782611701101</v>
      </c>
      <c r="D10">
        <v>0.9564372660080005</v>
      </c>
      <c r="E10">
        <v>1</v>
      </c>
    </row>
    <row r="11" spans="1:17" x14ac:dyDescent="0.35">
      <c r="A11" t="s">
        <v>1045</v>
      </c>
      <c r="B11">
        <v>-0.30074119378677072</v>
      </c>
      <c r="C11">
        <v>0.98639434703028017</v>
      </c>
      <c r="D11">
        <v>0.96131371599274662</v>
      </c>
      <c r="E11">
        <v>0.98923922671108599</v>
      </c>
      <c r="F11">
        <v>1</v>
      </c>
    </row>
    <row r="12" spans="1:17" x14ac:dyDescent="0.35">
      <c r="A12" t="s">
        <v>1049</v>
      </c>
      <c r="B12">
        <v>-0.32142901894036074</v>
      </c>
      <c r="C12">
        <v>0.9701342738444152</v>
      </c>
      <c r="D12">
        <v>0.9200664214172144</v>
      </c>
      <c r="E12">
        <v>0.97379374811491382</v>
      </c>
      <c r="F12">
        <v>0.98101656051561781</v>
      </c>
      <c r="G12">
        <v>1</v>
      </c>
    </row>
    <row r="13" spans="1:17" x14ac:dyDescent="0.35">
      <c r="A13" t="s">
        <v>1052</v>
      </c>
      <c r="B13">
        <v>-0.27536216402825436</v>
      </c>
      <c r="C13">
        <v>0.9610548078962553</v>
      </c>
      <c r="D13">
        <v>0.9174168417041787</v>
      </c>
      <c r="E13">
        <v>0.96958711663453945</v>
      </c>
      <c r="F13">
        <v>0.95416478998774046</v>
      </c>
      <c r="G13">
        <v>0.926875916694889</v>
      </c>
      <c r="H13">
        <v>1</v>
      </c>
    </row>
    <row r="14" spans="1:17" x14ac:dyDescent="0.35">
      <c r="A14" t="s">
        <v>1051</v>
      </c>
      <c r="B14">
        <v>-0.21556414059726153</v>
      </c>
      <c r="C14">
        <v>0.93096525716896816</v>
      </c>
      <c r="D14">
        <v>0.9277803572086214</v>
      </c>
      <c r="E14">
        <v>0.93335159854165728</v>
      </c>
      <c r="F14">
        <v>0.93390602287340296</v>
      </c>
      <c r="G14">
        <v>0.90843170267746021</v>
      </c>
      <c r="H14">
        <v>0.98867125486043672</v>
      </c>
      <c r="I14">
        <v>1</v>
      </c>
    </row>
    <row r="15" spans="1:17" x14ac:dyDescent="0.35">
      <c r="A15" t="s">
        <v>1050</v>
      </c>
      <c r="B15">
        <v>-0.27242309102702428</v>
      </c>
      <c r="C15">
        <v>0.95732678344269384</v>
      </c>
      <c r="D15">
        <v>0.92942375098259988</v>
      </c>
      <c r="E15">
        <v>0.95843261738246932</v>
      </c>
      <c r="F15">
        <v>0.94902036632190356</v>
      </c>
      <c r="G15">
        <v>0.962617030404329</v>
      </c>
      <c r="H15">
        <v>0.97636136511135285</v>
      </c>
      <c r="I15">
        <v>0.96943068978900926</v>
      </c>
      <c r="J15">
        <v>1</v>
      </c>
    </row>
    <row r="16" spans="1:17" x14ac:dyDescent="0.35">
      <c r="A16" t="s">
        <v>1053</v>
      </c>
      <c r="B16">
        <v>-0.1779384553033567</v>
      </c>
      <c r="C16">
        <v>0.86849086985714707</v>
      </c>
      <c r="D16">
        <v>0.94315055519177249</v>
      </c>
      <c r="E16">
        <v>0.83436503788263527</v>
      </c>
      <c r="F16">
        <v>0.83874723405109375</v>
      </c>
      <c r="G16">
        <v>0.80369580617503267</v>
      </c>
      <c r="H16">
        <v>0.7991588014973402</v>
      </c>
      <c r="I16">
        <v>0.83930993794776898</v>
      </c>
      <c r="J16">
        <v>0.85433923007972823</v>
      </c>
      <c r="K16">
        <v>1</v>
      </c>
    </row>
    <row r="17" spans="1:12" ht="15" thickBot="1" x14ac:dyDescent="0.4">
      <c r="A17" s="6" t="s">
        <v>1054</v>
      </c>
      <c r="B17" s="6">
        <v>-0.30460026934563333</v>
      </c>
      <c r="C17" s="6">
        <v>0.95299004338961046</v>
      </c>
      <c r="D17" s="6">
        <v>0.92060872370126412</v>
      </c>
      <c r="E17" s="6">
        <v>0.95490525522481529</v>
      </c>
      <c r="F17" s="6">
        <v>0.95932316109557303</v>
      </c>
      <c r="G17" s="6">
        <v>0.95957116979829837</v>
      </c>
      <c r="H17" s="6">
        <v>0.92817128878967969</v>
      </c>
      <c r="I17" s="6">
        <v>0.93942782554658588</v>
      </c>
      <c r="J17" s="6">
        <v>0.94069194139835233</v>
      </c>
      <c r="K17" s="6">
        <v>0.82528366169050249</v>
      </c>
      <c r="L17" s="6">
        <v>1</v>
      </c>
    </row>
    <row r="19" spans="1:12" x14ac:dyDescent="0.35">
      <c r="A19" s="45" t="s">
        <v>1205</v>
      </c>
      <c r="B19" s="44"/>
      <c r="C19" s="44"/>
      <c r="D19" s="44"/>
    </row>
    <row r="20" spans="1:12" x14ac:dyDescent="0.35">
      <c r="A20" s="45" t="s">
        <v>1206</v>
      </c>
      <c r="B20" s="45" t="s">
        <v>1207</v>
      </c>
      <c r="C20" s="45" t="s">
        <v>1208</v>
      </c>
      <c r="D20" s="44"/>
    </row>
    <row r="21" spans="1:12" x14ac:dyDescent="0.35">
      <c r="A21" s="44" t="s">
        <v>1091</v>
      </c>
      <c r="B21" s="44" t="s">
        <v>1057</v>
      </c>
      <c r="C21" s="44">
        <v>-0.32119999999999999</v>
      </c>
      <c r="D21" s="44"/>
    </row>
    <row r="24" spans="1:12" ht="15.5" x14ac:dyDescent="0.35">
      <c r="A24" s="11" t="s">
        <v>1217</v>
      </c>
    </row>
    <row r="26" spans="1:12" ht="17" x14ac:dyDescent="0.5">
      <c r="B26" s="9" t="s">
        <v>1060</v>
      </c>
    </row>
    <row r="27" spans="1:12" ht="18" x14ac:dyDescent="0.5">
      <c r="B27" s="9"/>
      <c r="C27" s="21" t="s">
        <v>1117</v>
      </c>
    </row>
    <row r="28" spans="1:12" ht="17" x14ac:dyDescent="0.5">
      <c r="B28" s="9"/>
    </row>
    <row r="46" spans="1:1" ht="15.5" x14ac:dyDescent="0.35">
      <c r="A46" s="10" t="s">
        <v>1119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6B1F-B4CF-4680-81B2-2B95E098FCE0}">
  <dimension ref="A2:U85"/>
  <sheetViews>
    <sheetView topLeftCell="A36" workbookViewId="0">
      <selection activeCell="K45" sqref="K45"/>
    </sheetView>
  </sheetViews>
  <sheetFormatPr defaultRowHeight="14.5" x14ac:dyDescent="0.35"/>
  <sheetData>
    <row r="2" spans="1:21" ht="17.5" x14ac:dyDescent="0.35">
      <c r="A2" s="33"/>
      <c r="B2" s="33"/>
      <c r="C2" s="38" t="s">
        <v>1169</v>
      </c>
      <c r="D2" s="33"/>
      <c r="E2" s="33"/>
      <c r="F2" s="33"/>
      <c r="G2" s="33"/>
      <c r="H2" s="33"/>
      <c r="I2" s="33"/>
      <c r="J2" s="33"/>
      <c r="K2" s="33"/>
      <c r="L2" s="33"/>
      <c r="M2" s="33"/>
      <c r="N2" s="33"/>
      <c r="O2" s="33"/>
      <c r="P2" s="33"/>
      <c r="Q2" s="33"/>
      <c r="R2" s="33"/>
      <c r="S2" s="33"/>
      <c r="T2" s="33"/>
      <c r="U2" s="33"/>
    </row>
    <row r="3" spans="1:21" ht="15.5" x14ac:dyDescent="0.35">
      <c r="A3" s="34"/>
      <c r="B3" s="34"/>
      <c r="C3" s="35" t="s">
        <v>1120</v>
      </c>
      <c r="D3" s="34"/>
      <c r="E3" s="34"/>
      <c r="F3" s="34"/>
      <c r="G3" s="34"/>
      <c r="H3" s="34"/>
      <c r="I3" s="34"/>
      <c r="J3" s="34"/>
      <c r="K3" s="34"/>
      <c r="L3" s="34"/>
      <c r="M3" s="34"/>
      <c r="N3" s="34"/>
      <c r="O3" s="34"/>
      <c r="P3" s="34"/>
      <c r="Q3" s="34"/>
      <c r="R3" s="34"/>
      <c r="S3" s="34"/>
      <c r="T3" s="34"/>
      <c r="U3" s="34"/>
    </row>
    <row r="5" spans="1:21" ht="15.5" x14ac:dyDescent="0.35">
      <c r="A5" s="36" t="s">
        <v>1121</v>
      </c>
      <c r="B5" s="34"/>
      <c r="C5" s="34"/>
      <c r="D5" s="34"/>
      <c r="E5" s="34"/>
      <c r="F5" s="34"/>
      <c r="G5" s="34"/>
      <c r="H5" s="34"/>
      <c r="I5" s="34"/>
      <c r="J5" s="34"/>
      <c r="K5" s="34"/>
      <c r="L5" s="34"/>
      <c r="M5" s="34"/>
      <c r="N5" s="34"/>
      <c r="O5" s="34"/>
      <c r="P5" s="34"/>
      <c r="Q5" s="34"/>
      <c r="R5" s="34"/>
      <c r="S5" s="34"/>
      <c r="T5" s="34"/>
      <c r="U5" s="34"/>
    </row>
    <row r="6" spans="1:21" ht="15.5" x14ac:dyDescent="0.35">
      <c r="A6" s="37" t="s">
        <v>1123</v>
      </c>
    </row>
    <row r="7" spans="1:21" ht="15.5" x14ac:dyDescent="0.35">
      <c r="A7" s="37" t="s">
        <v>1125</v>
      </c>
    </row>
    <row r="8" spans="1:21" ht="15.5" x14ac:dyDescent="0.35">
      <c r="A8" s="37" t="s">
        <v>1126</v>
      </c>
    </row>
    <row r="9" spans="1:21" ht="15.5" x14ac:dyDescent="0.35">
      <c r="A9" s="37" t="s">
        <v>1127</v>
      </c>
    </row>
    <row r="10" spans="1:21" ht="15.5" x14ac:dyDescent="0.35">
      <c r="A10" s="37" t="s">
        <v>1124</v>
      </c>
    </row>
    <row r="11" spans="1:21" ht="15.5" x14ac:dyDescent="0.35">
      <c r="A11" s="37" t="s">
        <v>1178</v>
      </c>
    </row>
    <row r="12" spans="1:21" ht="15.5" x14ac:dyDescent="0.35">
      <c r="A12" s="37" t="s">
        <v>1128</v>
      </c>
    </row>
    <row r="13" spans="1:21" ht="15.5" x14ac:dyDescent="0.35">
      <c r="A13" s="37" t="s">
        <v>1129</v>
      </c>
    </row>
    <row r="14" spans="1:21" ht="15.5" x14ac:dyDescent="0.35">
      <c r="A14" s="11"/>
    </row>
    <row r="15" spans="1:21" ht="15.5" x14ac:dyDescent="0.35">
      <c r="A15" s="37" t="s">
        <v>1130</v>
      </c>
    </row>
    <row r="16" spans="1:21" x14ac:dyDescent="0.35">
      <c r="A16" t="s">
        <v>1131</v>
      </c>
    </row>
    <row r="17" spans="1:21" ht="15.5" x14ac:dyDescent="0.35">
      <c r="A17" s="37" t="s">
        <v>1094</v>
      </c>
    </row>
    <row r="19" spans="1:21" ht="15.5" x14ac:dyDescent="0.35">
      <c r="A19" s="36" t="s">
        <v>1132</v>
      </c>
      <c r="B19" s="34"/>
      <c r="C19" s="34"/>
      <c r="D19" s="34"/>
      <c r="E19" s="34"/>
      <c r="F19" s="34"/>
      <c r="G19" s="34"/>
      <c r="H19" s="34"/>
      <c r="I19" s="34"/>
      <c r="J19" s="34"/>
      <c r="K19" s="34"/>
      <c r="L19" s="34"/>
      <c r="M19" s="34"/>
      <c r="N19" s="34"/>
      <c r="O19" s="34"/>
      <c r="P19" s="34"/>
      <c r="Q19" s="34"/>
      <c r="R19" s="34"/>
      <c r="S19" s="34"/>
      <c r="T19" s="34"/>
      <c r="U19" s="34"/>
    </row>
    <row r="20" spans="1:21" ht="15.5" x14ac:dyDescent="0.35">
      <c r="A20" s="37" t="s">
        <v>1133</v>
      </c>
    </row>
    <row r="21" spans="1:21" ht="15.5" x14ac:dyDescent="0.35">
      <c r="A21" s="37" t="s">
        <v>1135</v>
      </c>
    </row>
    <row r="22" spans="1:21" ht="15.5" x14ac:dyDescent="0.35">
      <c r="A22" s="37" t="s">
        <v>1136</v>
      </c>
    </row>
    <row r="23" spans="1:21" ht="15.5" x14ac:dyDescent="0.35">
      <c r="A23" s="37" t="s">
        <v>1137</v>
      </c>
    </row>
    <row r="24" spans="1:21" ht="15.5" x14ac:dyDescent="0.35">
      <c r="A24" s="37" t="s">
        <v>1138</v>
      </c>
    </row>
    <row r="25" spans="1:21" ht="15.5" x14ac:dyDescent="0.35">
      <c r="A25" s="37" t="s">
        <v>1139</v>
      </c>
    </row>
    <row r="26" spans="1:21" ht="15.5" x14ac:dyDescent="0.35">
      <c r="A26" s="37"/>
    </row>
    <row r="27" spans="1:21" ht="15.5" x14ac:dyDescent="0.35">
      <c r="A27" s="37" t="s">
        <v>1140</v>
      </c>
    </row>
    <row r="28" spans="1:21" ht="15.5" x14ac:dyDescent="0.35">
      <c r="A28" s="37" t="s">
        <v>1141</v>
      </c>
    </row>
    <row r="29" spans="1:21" ht="15.5" x14ac:dyDescent="0.35">
      <c r="A29" s="11" t="s">
        <v>1142</v>
      </c>
    </row>
    <row r="30" spans="1:21" ht="15.5" x14ac:dyDescent="0.35">
      <c r="A30" s="37" t="s">
        <v>1143</v>
      </c>
    </row>
    <row r="31" spans="1:21" ht="15.5" x14ac:dyDescent="0.35">
      <c r="A31" s="37" t="s">
        <v>1134</v>
      </c>
    </row>
    <row r="32" spans="1:21" ht="15.5" x14ac:dyDescent="0.35">
      <c r="A32" s="37" t="s">
        <v>1144</v>
      </c>
    </row>
    <row r="33" spans="1:21" ht="15.5" x14ac:dyDescent="0.35">
      <c r="A33" s="11" t="s">
        <v>1145</v>
      </c>
    </row>
    <row r="37" spans="1:21" ht="15.5" x14ac:dyDescent="0.35">
      <c r="A37" s="36" t="s">
        <v>1146</v>
      </c>
      <c r="B37" s="34"/>
      <c r="C37" s="34"/>
      <c r="D37" s="34"/>
      <c r="E37" s="34"/>
      <c r="F37" s="34"/>
      <c r="G37" s="34"/>
      <c r="H37" s="34"/>
      <c r="I37" s="34"/>
      <c r="J37" s="34"/>
      <c r="K37" s="34"/>
      <c r="L37" s="34"/>
      <c r="M37" s="34"/>
      <c r="N37" s="34"/>
      <c r="O37" s="34"/>
      <c r="P37" s="34"/>
      <c r="Q37" s="34"/>
      <c r="R37" s="34"/>
      <c r="S37" s="34"/>
      <c r="T37" s="34"/>
      <c r="U37" s="34"/>
    </row>
    <row r="38" spans="1:21" ht="15.5" x14ac:dyDescent="0.35">
      <c r="A38" s="11" t="s">
        <v>1209</v>
      </c>
    </row>
    <row r="39" spans="1:21" ht="15.5" x14ac:dyDescent="0.35">
      <c r="A39" s="37" t="s">
        <v>1210</v>
      </c>
    </row>
    <row r="40" spans="1:21" ht="15.5" x14ac:dyDescent="0.35">
      <c r="A40" s="37" t="s">
        <v>1211</v>
      </c>
    </row>
    <row r="41" spans="1:21" ht="15.5" x14ac:dyDescent="0.35">
      <c r="A41" s="37"/>
    </row>
    <row r="42" spans="1:21" ht="15.5" x14ac:dyDescent="0.35">
      <c r="A42" s="11" t="s">
        <v>1212</v>
      </c>
    </row>
    <row r="43" spans="1:21" ht="15.5" x14ac:dyDescent="0.35">
      <c r="A43" s="11" t="s">
        <v>1213</v>
      </c>
    </row>
    <row r="45" spans="1:21" ht="15.5" x14ac:dyDescent="0.35">
      <c r="A45" s="37" t="s">
        <v>1148</v>
      </c>
    </row>
    <row r="46" spans="1:21" ht="15.5" x14ac:dyDescent="0.35">
      <c r="A46" s="37" t="s">
        <v>1215</v>
      </c>
    </row>
    <row r="47" spans="1:21" ht="15.5" x14ac:dyDescent="0.35">
      <c r="A47" s="37" t="s">
        <v>1214</v>
      </c>
    </row>
    <row r="48" spans="1:21" ht="15.5" x14ac:dyDescent="0.35">
      <c r="A48" s="11"/>
    </row>
    <row r="49" spans="1:21" ht="15.5" x14ac:dyDescent="0.35">
      <c r="A49" s="11"/>
    </row>
    <row r="51" spans="1:21" ht="15.5" x14ac:dyDescent="0.35">
      <c r="A51" s="36" t="s">
        <v>1149</v>
      </c>
      <c r="B51" s="34"/>
      <c r="C51" s="34"/>
      <c r="D51" s="34"/>
      <c r="E51" s="34"/>
      <c r="F51" s="34"/>
      <c r="G51" s="34"/>
      <c r="H51" s="34"/>
      <c r="I51" s="34"/>
      <c r="J51" s="34"/>
      <c r="K51" s="34"/>
      <c r="L51" s="34"/>
      <c r="M51" s="34"/>
      <c r="N51" s="34"/>
      <c r="O51" s="34"/>
      <c r="P51" s="34"/>
      <c r="Q51" s="34"/>
      <c r="R51" s="34"/>
      <c r="S51" s="34"/>
      <c r="T51" s="34"/>
      <c r="U51" s="34"/>
    </row>
    <row r="52" spans="1:21" ht="15.5" x14ac:dyDescent="0.35">
      <c r="A52" s="37" t="s">
        <v>1150</v>
      </c>
    </row>
    <row r="53" spans="1:21" ht="15.5" x14ac:dyDescent="0.35">
      <c r="A53" s="37" t="s">
        <v>1151</v>
      </c>
    </row>
    <row r="54" spans="1:21" ht="15.5" x14ac:dyDescent="0.35">
      <c r="A54" s="37" t="s">
        <v>1152</v>
      </c>
    </row>
    <row r="55" spans="1:21" ht="15.5" x14ac:dyDescent="0.35">
      <c r="A55" s="37" t="s">
        <v>1153</v>
      </c>
    </row>
    <row r="56" spans="1:21" ht="15.5" x14ac:dyDescent="0.35">
      <c r="A56" s="37" t="s">
        <v>1147</v>
      </c>
    </row>
    <row r="57" spans="1:21" ht="15.5" x14ac:dyDescent="0.35">
      <c r="A57" s="37" t="s">
        <v>1180</v>
      </c>
    </row>
    <row r="58" spans="1:21" ht="15.5" x14ac:dyDescent="0.35">
      <c r="A58" s="37" t="s">
        <v>1122</v>
      </c>
    </row>
    <row r="59" spans="1:21" ht="15.5" x14ac:dyDescent="0.35">
      <c r="A59" s="37" t="s">
        <v>1192</v>
      </c>
    </row>
    <row r="60" spans="1:21" ht="15.5" x14ac:dyDescent="0.35">
      <c r="A60" s="11" t="s">
        <v>1154</v>
      </c>
    </row>
    <row r="64" spans="1:21" ht="15.5" x14ac:dyDescent="0.35">
      <c r="A64" s="36" t="s">
        <v>1161</v>
      </c>
      <c r="B64" s="34"/>
      <c r="C64" s="34"/>
      <c r="D64" s="34"/>
      <c r="E64" s="34"/>
      <c r="F64" s="34"/>
      <c r="G64" s="34"/>
      <c r="H64" s="34"/>
      <c r="I64" s="34"/>
      <c r="J64" s="34"/>
      <c r="K64" s="34"/>
      <c r="L64" s="34"/>
      <c r="M64" s="34"/>
      <c r="N64" s="34"/>
      <c r="O64" s="34"/>
      <c r="P64" s="34"/>
      <c r="Q64" s="34"/>
      <c r="R64" s="34"/>
      <c r="S64" s="34"/>
      <c r="T64" s="34"/>
      <c r="U64" s="34"/>
    </row>
    <row r="65" spans="1:21" ht="15.5" x14ac:dyDescent="0.35">
      <c r="A65" s="37" t="s">
        <v>1155</v>
      </c>
    </row>
    <row r="66" spans="1:21" ht="15.5" x14ac:dyDescent="0.35">
      <c r="A66" s="37" t="s">
        <v>1156</v>
      </c>
    </row>
    <row r="67" spans="1:21" ht="15.5" x14ac:dyDescent="0.35">
      <c r="A67" s="37" t="s">
        <v>1134</v>
      </c>
    </row>
    <row r="68" spans="1:21" ht="15.5" x14ac:dyDescent="0.35">
      <c r="A68" s="37" t="s">
        <v>1157</v>
      </c>
    </row>
    <row r="69" spans="1:21" ht="15.5" x14ac:dyDescent="0.35">
      <c r="A69" s="37" t="s">
        <v>1158</v>
      </c>
    </row>
    <row r="71" spans="1:21" ht="15.5" x14ac:dyDescent="0.35">
      <c r="A71" s="37" t="s">
        <v>1193</v>
      </c>
    </row>
    <row r="72" spans="1:21" ht="15.5" x14ac:dyDescent="0.35">
      <c r="A72" s="11" t="s">
        <v>1159</v>
      </c>
    </row>
    <row r="75" spans="1:21" ht="15.5" x14ac:dyDescent="0.35">
      <c r="A75" s="36" t="s">
        <v>1160</v>
      </c>
      <c r="B75" s="34"/>
      <c r="C75" s="34"/>
      <c r="D75" s="34"/>
      <c r="E75" s="34"/>
      <c r="F75" s="34"/>
      <c r="G75" s="34"/>
      <c r="H75" s="34"/>
      <c r="I75" s="34"/>
      <c r="J75" s="34"/>
      <c r="K75" s="34"/>
      <c r="L75" s="34"/>
      <c r="M75" s="34"/>
      <c r="N75" s="34"/>
      <c r="O75" s="34"/>
      <c r="P75" s="34"/>
      <c r="Q75" s="34"/>
      <c r="R75" s="34"/>
      <c r="S75" s="34"/>
      <c r="T75" s="34"/>
      <c r="U75" s="34"/>
    </row>
    <row r="76" spans="1:21" ht="15.5" x14ac:dyDescent="0.35">
      <c r="A76" s="37" t="s">
        <v>1162</v>
      </c>
    </row>
    <row r="77" spans="1:21" ht="15.5" x14ac:dyDescent="0.35">
      <c r="A77" s="37" t="s">
        <v>1163</v>
      </c>
    </row>
    <row r="78" spans="1:21" ht="15.5" x14ac:dyDescent="0.35">
      <c r="A78" s="37" t="s">
        <v>1164</v>
      </c>
    </row>
    <row r="79" spans="1:21" ht="15.5" x14ac:dyDescent="0.35">
      <c r="A79" s="37" t="s">
        <v>1165</v>
      </c>
    </row>
    <row r="80" spans="1:21" ht="15.5" x14ac:dyDescent="0.35">
      <c r="A80" s="37"/>
    </row>
    <row r="81" spans="1:1" ht="15.5" x14ac:dyDescent="0.35">
      <c r="A81" s="37" t="s">
        <v>1166</v>
      </c>
    </row>
    <row r="82" spans="1:1" ht="15.5" x14ac:dyDescent="0.35">
      <c r="A82" s="37" t="s">
        <v>1167</v>
      </c>
    </row>
    <row r="83" spans="1:1" ht="15.5" x14ac:dyDescent="0.35">
      <c r="A83" s="37"/>
    </row>
    <row r="84" spans="1:1" ht="15.5" x14ac:dyDescent="0.35">
      <c r="A84" s="37" t="s">
        <v>1194</v>
      </c>
    </row>
    <row r="85" spans="1:1" ht="15.5" x14ac:dyDescent="0.35">
      <c r="A85" s="37" t="s">
        <v>1168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D8E8-B49C-4AAB-A787-6338EF0453E1}">
  <dimension ref="L104:L106"/>
  <sheetViews>
    <sheetView workbookViewId="0">
      <selection activeCell="O14" sqref="O14"/>
    </sheetView>
  </sheetViews>
  <sheetFormatPr defaultRowHeight="14.5" x14ac:dyDescent="0.35"/>
  <sheetData>
    <row r="104" spans="12:12" x14ac:dyDescent="0.35">
      <c r="L104" t="s">
        <v>1069</v>
      </c>
    </row>
    <row r="106" spans="12:12" x14ac:dyDescent="0.35">
      <c r="L106" t="s">
        <v>1070</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390C-95E1-446D-BCC7-275D22DEC24E}">
  <dimension ref="A1:S218"/>
  <sheetViews>
    <sheetView workbookViewId="0">
      <selection activeCell="A55" sqref="A55"/>
    </sheetView>
  </sheetViews>
  <sheetFormatPr defaultRowHeight="14.5" x14ac:dyDescent="0.35"/>
  <cols>
    <col min="1" max="1" width="26.7265625" bestFit="1" customWidth="1"/>
    <col min="2" max="2" width="42.26953125" bestFit="1" customWidth="1"/>
    <col min="3" max="3" width="18.90625" bestFit="1" customWidth="1"/>
    <col min="4" max="4" width="18.54296875" bestFit="1" customWidth="1"/>
    <col min="5" max="5" width="10.81640625" bestFit="1" customWidth="1"/>
    <col min="6" max="6" width="11" bestFit="1" customWidth="1"/>
    <col min="7" max="7" width="14" bestFit="1" customWidth="1"/>
    <col min="8" max="8" width="14.7265625" bestFit="1" customWidth="1"/>
    <col min="9" max="9" width="20.6328125" bestFit="1" customWidth="1"/>
    <col min="10" max="10" width="17.453125" bestFit="1" customWidth="1"/>
    <col min="11" max="11" width="12.1796875" bestFit="1" customWidth="1"/>
    <col min="12" max="12" width="16.26953125" bestFit="1" customWidth="1"/>
    <col min="13" max="13" width="18.453125" bestFit="1" customWidth="1"/>
    <col min="14" max="14" width="24.36328125" bestFit="1" customWidth="1"/>
    <col min="15" max="15" width="17.1796875" bestFit="1" customWidth="1"/>
    <col min="16" max="16" width="22.81640625" bestFit="1" customWidth="1"/>
    <col min="17" max="17" width="28.1796875" bestFit="1" customWidth="1"/>
    <col min="18" max="18" width="18.7265625" bestFit="1" customWidth="1"/>
    <col min="19" max="19" width="21.453125" bestFit="1" customWidth="1"/>
  </cols>
  <sheetData>
    <row r="1" spans="1:19" x14ac:dyDescent="0.35">
      <c r="A1" s="12" t="s">
        <v>1071</v>
      </c>
      <c r="B1" s="13" t="s">
        <v>1072</v>
      </c>
      <c r="C1" s="13" t="s">
        <v>1073</v>
      </c>
      <c r="D1" s="13" t="s">
        <v>1074</v>
      </c>
      <c r="E1" s="13" t="s">
        <v>1075</v>
      </c>
      <c r="F1" s="13" t="s">
        <v>1076</v>
      </c>
      <c r="G1" s="13" t="s">
        <v>1088</v>
      </c>
      <c r="H1" s="13" t="s">
        <v>1077</v>
      </c>
      <c r="I1" s="13" t="s">
        <v>0</v>
      </c>
      <c r="J1" s="13" t="s">
        <v>1078</v>
      </c>
      <c r="K1" s="13" t="s">
        <v>1079</v>
      </c>
      <c r="L1" s="13" t="s">
        <v>1080</v>
      </c>
      <c r="M1" s="13" t="s">
        <v>1081</v>
      </c>
      <c r="N1" s="13" t="s">
        <v>1082</v>
      </c>
      <c r="O1" s="13" t="s">
        <v>1083</v>
      </c>
      <c r="P1" s="13" t="s">
        <v>1084</v>
      </c>
      <c r="Q1" s="13" t="s">
        <v>1085</v>
      </c>
      <c r="R1" s="13" t="s">
        <v>1086</v>
      </c>
      <c r="S1" s="14" t="s">
        <v>1087</v>
      </c>
    </row>
    <row r="2" spans="1:19" hidden="1" x14ac:dyDescent="0.35">
      <c r="A2" s="15" t="s">
        <v>1</v>
      </c>
      <c r="B2" s="2" t="s">
        <v>2</v>
      </c>
      <c r="C2" s="2" t="s">
        <v>3</v>
      </c>
      <c r="D2" s="2" t="s">
        <v>4</v>
      </c>
      <c r="E2" s="2">
        <v>12.5167</v>
      </c>
      <c r="F2" s="2">
        <v>-70.0167</v>
      </c>
      <c r="G2" s="2"/>
      <c r="H2" s="2"/>
      <c r="I2" s="2"/>
      <c r="J2" s="2"/>
      <c r="K2" s="2"/>
      <c r="L2" s="2"/>
      <c r="M2" s="2"/>
      <c r="N2" s="2"/>
      <c r="O2" s="2"/>
      <c r="P2" s="2"/>
      <c r="Q2" s="2"/>
      <c r="R2" s="2"/>
      <c r="S2" s="16"/>
    </row>
    <row r="3" spans="1:19" x14ac:dyDescent="0.35">
      <c r="A3" s="15" t="s">
        <v>7</v>
      </c>
      <c r="B3" s="2" t="s">
        <v>8</v>
      </c>
      <c r="C3" s="2" t="s">
        <v>9</v>
      </c>
      <c r="D3" s="2" t="s">
        <v>10</v>
      </c>
      <c r="E3" s="2">
        <v>34.522799999999997</v>
      </c>
      <c r="F3" s="2">
        <v>69.176100000000005</v>
      </c>
      <c r="G3" s="2" t="s">
        <v>13</v>
      </c>
      <c r="H3" s="2">
        <v>2024</v>
      </c>
      <c r="I3" s="2">
        <v>-6.6011856407372598</v>
      </c>
      <c r="J3" s="2">
        <v>38.200000000000003</v>
      </c>
      <c r="K3" s="2">
        <v>8.1999999999999993</v>
      </c>
      <c r="L3" s="2">
        <v>36.799999999999997</v>
      </c>
      <c r="M3" s="2">
        <v>36.9</v>
      </c>
      <c r="N3" s="2">
        <v>48.5</v>
      </c>
      <c r="O3" s="2">
        <v>0.88</v>
      </c>
      <c r="P3" s="2">
        <v>1.05</v>
      </c>
      <c r="Q3" s="2">
        <v>12.8</v>
      </c>
      <c r="R3" s="2">
        <v>85</v>
      </c>
      <c r="S3" s="16">
        <v>20</v>
      </c>
    </row>
    <row r="4" spans="1:19" hidden="1" x14ac:dyDescent="0.35">
      <c r="A4" s="15" t="s">
        <v>14</v>
      </c>
      <c r="B4" s="2" t="s">
        <v>15</v>
      </c>
      <c r="C4" s="2" t="s">
        <v>16</v>
      </c>
      <c r="D4" s="2" t="s">
        <v>17</v>
      </c>
      <c r="E4" s="2">
        <v>-8.8115500000000004</v>
      </c>
      <c r="F4" s="2">
        <v>13.242000000000001</v>
      </c>
      <c r="G4" s="2" t="s">
        <v>20</v>
      </c>
      <c r="H4" s="2">
        <v>2024</v>
      </c>
      <c r="I4" s="2">
        <v>28.2404948915772</v>
      </c>
      <c r="J4" s="2"/>
      <c r="K4" s="2"/>
      <c r="L4" s="2"/>
      <c r="M4" s="2"/>
      <c r="N4" s="2"/>
      <c r="O4" s="2"/>
      <c r="P4" s="2"/>
      <c r="Q4" s="2"/>
      <c r="R4" s="2"/>
      <c r="S4" s="16"/>
    </row>
    <row r="5" spans="1:19" hidden="1" x14ac:dyDescent="0.35">
      <c r="A5" s="15" t="s">
        <v>21</v>
      </c>
      <c r="B5" s="2" t="s">
        <v>22</v>
      </c>
      <c r="C5" s="2" t="s">
        <v>23</v>
      </c>
      <c r="D5" s="2" t="s">
        <v>24</v>
      </c>
      <c r="E5" s="2">
        <v>41.331699999999998</v>
      </c>
      <c r="F5" s="2">
        <v>19.8172</v>
      </c>
      <c r="G5" s="2" t="s">
        <v>27</v>
      </c>
      <c r="H5" s="2">
        <v>2024</v>
      </c>
      <c r="I5" s="2">
        <v>2.2158737508999198</v>
      </c>
      <c r="J5" s="2"/>
      <c r="K5" s="2"/>
      <c r="L5" s="2"/>
      <c r="M5" s="2"/>
      <c r="N5" s="2"/>
      <c r="O5" s="2"/>
      <c r="P5" s="2"/>
      <c r="Q5" s="2"/>
      <c r="R5" s="2"/>
      <c r="S5" s="16"/>
    </row>
    <row r="6" spans="1:19" hidden="1" x14ac:dyDescent="0.35">
      <c r="A6" s="15" t="s">
        <v>28</v>
      </c>
      <c r="B6" s="2" t="s">
        <v>22</v>
      </c>
      <c r="C6" s="2" t="s">
        <v>3</v>
      </c>
      <c r="D6" s="2" t="s">
        <v>29</v>
      </c>
      <c r="E6" s="2">
        <v>42.5075</v>
      </c>
      <c r="F6" s="2">
        <v>1.5218</v>
      </c>
      <c r="G6" s="2"/>
      <c r="H6" s="2"/>
      <c r="I6" s="2"/>
      <c r="J6" s="2"/>
      <c r="K6" s="2"/>
      <c r="L6" s="2"/>
      <c r="M6" s="2"/>
      <c r="N6" s="2"/>
      <c r="O6" s="2"/>
      <c r="P6" s="2"/>
      <c r="Q6" s="2"/>
      <c r="R6" s="2"/>
      <c r="S6" s="16"/>
    </row>
    <row r="7" spans="1:19" x14ac:dyDescent="0.35">
      <c r="A7" s="15" t="s">
        <v>32</v>
      </c>
      <c r="B7" s="2" t="s">
        <v>8</v>
      </c>
      <c r="C7" s="2" t="s">
        <v>3</v>
      </c>
      <c r="D7" s="2" t="s">
        <v>33</v>
      </c>
      <c r="E7" s="2">
        <v>24.476400000000002</v>
      </c>
      <c r="F7" s="2">
        <v>54.3705</v>
      </c>
      <c r="G7" s="2" t="s">
        <v>36</v>
      </c>
      <c r="H7" s="2">
        <v>2024</v>
      </c>
      <c r="I7" s="2">
        <v>1.66336510224894</v>
      </c>
      <c r="J7" s="2">
        <v>72.400000000000006</v>
      </c>
      <c r="K7" s="2">
        <v>34.200000000000003</v>
      </c>
      <c r="L7" s="2">
        <v>68.5</v>
      </c>
      <c r="M7" s="2">
        <v>70.8</v>
      </c>
      <c r="N7" s="2">
        <v>96.2</v>
      </c>
      <c r="O7" s="2"/>
      <c r="P7" s="2"/>
      <c r="Q7" s="2"/>
      <c r="R7" s="2">
        <v>1100</v>
      </c>
      <c r="S7" s="16"/>
    </row>
    <row r="8" spans="1:19" hidden="1" x14ac:dyDescent="0.35">
      <c r="A8" s="15" t="s">
        <v>37</v>
      </c>
      <c r="B8" s="2" t="s">
        <v>2</v>
      </c>
      <c r="C8" s="2" t="s">
        <v>23</v>
      </c>
      <c r="D8" s="2" t="s">
        <v>38</v>
      </c>
      <c r="E8" s="2">
        <v>-34.611800000000002</v>
      </c>
      <c r="F8" s="2">
        <v>-58.417299999999997</v>
      </c>
      <c r="G8" s="2" t="s">
        <v>41</v>
      </c>
      <c r="H8" s="2">
        <v>2024</v>
      </c>
      <c r="I8" s="2">
        <v>219.883929014578</v>
      </c>
      <c r="J8" s="2"/>
      <c r="K8" s="2"/>
      <c r="L8" s="2"/>
      <c r="M8" s="2"/>
      <c r="N8" s="2"/>
      <c r="O8" s="2"/>
      <c r="P8" s="2"/>
      <c r="Q8" s="2"/>
      <c r="R8" s="2"/>
      <c r="S8" s="16"/>
    </row>
    <row r="9" spans="1:19" hidden="1" x14ac:dyDescent="0.35">
      <c r="A9" s="15" t="s">
        <v>42</v>
      </c>
      <c r="B9" s="2" t="s">
        <v>22</v>
      </c>
      <c r="C9" s="2" t="s">
        <v>23</v>
      </c>
      <c r="D9" s="2" t="s">
        <v>43</v>
      </c>
      <c r="E9" s="2">
        <v>40.159599999999998</v>
      </c>
      <c r="F9" s="2">
        <v>44.509</v>
      </c>
      <c r="G9" s="2" t="s">
        <v>46</v>
      </c>
      <c r="H9" s="2">
        <v>2024</v>
      </c>
      <c r="I9" s="2">
        <v>0.26951197825912498</v>
      </c>
      <c r="J9" s="2"/>
      <c r="K9" s="2"/>
      <c r="L9" s="2"/>
      <c r="M9" s="2"/>
      <c r="N9" s="2"/>
      <c r="O9" s="2"/>
      <c r="P9" s="2"/>
      <c r="Q9" s="2"/>
      <c r="R9" s="2"/>
      <c r="S9" s="16"/>
    </row>
    <row r="10" spans="1:19" hidden="1" x14ac:dyDescent="0.35">
      <c r="A10" s="15" t="s">
        <v>47</v>
      </c>
      <c r="B10" s="2" t="s">
        <v>48</v>
      </c>
      <c r="C10" s="2" t="s">
        <v>3</v>
      </c>
      <c r="D10" s="2" t="s">
        <v>49</v>
      </c>
      <c r="E10" s="2">
        <v>-14.284599999999999</v>
      </c>
      <c r="F10" s="2">
        <v>-170.691</v>
      </c>
      <c r="G10" s="2"/>
      <c r="H10" s="2"/>
      <c r="I10" s="2"/>
      <c r="J10" s="2"/>
      <c r="K10" s="2"/>
      <c r="L10" s="2"/>
      <c r="M10" s="2"/>
      <c r="N10" s="2"/>
      <c r="O10" s="2"/>
      <c r="P10" s="2"/>
      <c r="Q10" s="2"/>
      <c r="R10" s="2"/>
      <c r="S10" s="16"/>
    </row>
    <row r="11" spans="1:19" hidden="1" x14ac:dyDescent="0.35">
      <c r="A11" s="15" t="s">
        <v>52</v>
      </c>
      <c r="B11" s="2" t="s">
        <v>2</v>
      </c>
      <c r="C11" s="2" t="s">
        <v>3</v>
      </c>
      <c r="D11" s="2" t="s">
        <v>53</v>
      </c>
      <c r="E11" s="2">
        <v>17.1175</v>
      </c>
      <c r="F11" s="2">
        <v>-61.845599999999997</v>
      </c>
      <c r="G11" s="2" t="s">
        <v>56</v>
      </c>
      <c r="H11" s="2">
        <v>2024</v>
      </c>
      <c r="I11" s="2">
        <v>6.1988669884211598</v>
      </c>
      <c r="J11" s="2"/>
      <c r="K11" s="2"/>
      <c r="L11" s="2"/>
      <c r="M11" s="2"/>
      <c r="N11" s="2"/>
      <c r="O11" s="2"/>
      <c r="P11" s="2"/>
      <c r="Q11" s="2"/>
      <c r="R11" s="2"/>
      <c r="S11" s="16"/>
    </row>
    <row r="12" spans="1:19" x14ac:dyDescent="0.35">
      <c r="A12" s="15" t="s">
        <v>57</v>
      </c>
      <c r="B12" s="2" t="s">
        <v>48</v>
      </c>
      <c r="C12" s="2" t="s">
        <v>3</v>
      </c>
      <c r="D12" s="2" t="s">
        <v>58</v>
      </c>
      <c r="E12" s="2">
        <v>-35.281999999999996</v>
      </c>
      <c r="F12" s="2">
        <v>149.12899999999999</v>
      </c>
      <c r="G12" s="2" t="s">
        <v>61</v>
      </c>
      <c r="H12" s="2">
        <v>2024</v>
      </c>
      <c r="I12" s="2">
        <v>3.16656665428797</v>
      </c>
      <c r="J12" s="2">
        <v>69.5</v>
      </c>
      <c r="K12" s="2">
        <v>32.799999999999997</v>
      </c>
      <c r="L12" s="2">
        <v>65.400000000000006</v>
      </c>
      <c r="M12" s="2">
        <v>68.900000000000006</v>
      </c>
      <c r="N12" s="2">
        <v>95.6</v>
      </c>
      <c r="O12" s="2">
        <v>3.25</v>
      </c>
      <c r="P12" s="2"/>
      <c r="Q12" s="2"/>
      <c r="R12" s="2">
        <v>1450</v>
      </c>
      <c r="S12" s="16">
        <v>140</v>
      </c>
    </row>
    <row r="13" spans="1:19" hidden="1" x14ac:dyDescent="0.35">
      <c r="A13" s="15" t="s">
        <v>62</v>
      </c>
      <c r="B13" s="2" t="s">
        <v>22</v>
      </c>
      <c r="C13" s="2" t="s">
        <v>3</v>
      </c>
      <c r="D13" s="2" t="s">
        <v>63</v>
      </c>
      <c r="E13" s="2">
        <v>48.220100000000002</v>
      </c>
      <c r="F13" s="2">
        <v>16.379799999999999</v>
      </c>
      <c r="G13" s="2" t="s">
        <v>66</v>
      </c>
      <c r="H13" s="2">
        <v>2024</v>
      </c>
      <c r="I13" s="2">
        <v>2.9379157427937601</v>
      </c>
      <c r="J13" s="2"/>
      <c r="K13" s="2"/>
      <c r="L13" s="2"/>
      <c r="M13" s="2"/>
      <c r="N13" s="2"/>
      <c r="O13" s="2"/>
      <c r="P13" s="2"/>
      <c r="Q13" s="2"/>
      <c r="R13" s="2"/>
      <c r="S13" s="16"/>
    </row>
    <row r="14" spans="1:19" hidden="1" x14ac:dyDescent="0.35">
      <c r="A14" s="15" t="s">
        <v>67</v>
      </c>
      <c r="B14" s="2" t="s">
        <v>22</v>
      </c>
      <c r="C14" s="2" t="s">
        <v>23</v>
      </c>
      <c r="D14" s="2" t="s">
        <v>68</v>
      </c>
      <c r="E14" s="2">
        <v>40.383400000000002</v>
      </c>
      <c r="F14" s="2">
        <v>49.8932</v>
      </c>
      <c r="G14" s="2" t="s">
        <v>71</v>
      </c>
      <c r="H14" s="2">
        <v>2024</v>
      </c>
      <c r="I14" s="2">
        <v>2.2121718891990101</v>
      </c>
      <c r="J14" s="2"/>
      <c r="K14" s="2"/>
      <c r="L14" s="2"/>
      <c r="M14" s="2"/>
      <c r="N14" s="2"/>
      <c r="O14" s="2">
        <v>0.46</v>
      </c>
      <c r="P14" s="2"/>
      <c r="Q14" s="2"/>
      <c r="R14" s="2"/>
      <c r="S14" s="16"/>
    </row>
    <row r="15" spans="1:19" hidden="1" x14ac:dyDescent="0.35">
      <c r="A15" s="15" t="s">
        <v>72</v>
      </c>
      <c r="B15" s="2" t="s">
        <v>15</v>
      </c>
      <c r="C15" s="2" t="s">
        <v>9</v>
      </c>
      <c r="D15" s="2" t="s">
        <v>73</v>
      </c>
      <c r="E15" s="2">
        <v>-3.3784000000000001</v>
      </c>
      <c r="F15" s="2">
        <v>29.363900000000001</v>
      </c>
      <c r="G15" s="2" t="s">
        <v>76</v>
      </c>
      <c r="H15" s="2">
        <v>2024</v>
      </c>
      <c r="I15" s="2">
        <v>20.212492502784698</v>
      </c>
      <c r="J15" s="2"/>
      <c r="K15" s="2"/>
      <c r="L15" s="2"/>
      <c r="M15" s="2"/>
      <c r="N15" s="2"/>
      <c r="O15" s="2"/>
      <c r="P15" s="2"/>
      <c r="Q15" s="2"/>
      <c r="R15" s="2"/>
      <c r="S15" s="16"/>
    </row>
    <row r="16" spans="1:19" hidden="1" x14ac:dyDescent="0.35">
      <c r="A16" s="15" t="s">
        <v>77</v>
      </c>
      <c r="B16" s="2" t="s">
        <v>22</v>
      </c>
      <c r="C16" s="2" t="s">
        <v>3</v>
      </c>
      <c r="D16" s="2" t="s">
        <v>78</v>
      </c>
      <c r="E16" s="2">
        <v>50.8371</v>
      </c>
      <c r="F16" s="2">
        <v>4.36761</v>
      </c>
      <c r="G16" s="2" t="s">
        <v>81</v>
      </c>
      <c r="H16" s="2">
        <v>2024</v>
      </c>
      <c r="I16" s="2">
        <v>3.1434913650004099</v>
      </c>
      <c r="J16" s="2"/>
      <c r="K16" s="2"/>
      <c r="L16" s="2"/>
      <c r="M16" s="2"/>
      <c r="N16" s="2"/>
      <c r="O16" s="2"/>
      <c r="P16" s="2"/>
      <c r="Q16" s="2"/>
      <c r="R16" s="2"/>
      <c r="S16" s="16"/>
    </row>
    <row r="17" spans="1:19" hidden="1" x14ac:dyDescent="0.35">
      <c r="A17" s="15" t="s">
        <v>82</v>
      </c>
      <c r="B17" s="2" t="s">
        <v>15</v>
      </c>
      <c r="C17" s="2" t="s">
        <v>16</v>
      </c>
      <c r="D17" s="2" t="s">
        <v>83</v>
      </c>
      <c r="E17" s="2">
        <v>6.4779</v>
      </c>
      <c r="F17" s="2">
        <v>2.6322999999999999</v>
      </c>
      <c r="G17" s="2" t="s">
        <v>86</v>
      </c>
      <c r="H17" s="2">
        <v>2024</v>
      </c>
      <c r="I17" s="2">
        <v>1.16093089640415</v>
      </c>
      <c r="J17" s="2"/>
      <c r="K17" s="2"/>
      <c r="L17" s="2"/>
      <c r="M17" s="2"/>
      <c r="N17" s="2"/>
      <c r="O17" s="2"/>
      <c r="P17" s="2"/>
      <c r="Q17" s="2"/>
      <c r="R17" s="2"/>
      <c r="S17" s="16"/>
    </row>
    <row r="18" spans="1:19" hidden="1" x14ac:dyDescent="0.35">
      <c r="A18" s="15" t="s">
        <v>87</v>
      </c>
      <c r="B18" s="2" t="s">
        <v>15</v>
      </c>
      <c r="C18" s="2" t="s">
        <v>9</v>
      </c>
      <c r="D18" s="2" t="s">
        <v>88</v>
      </c>
      <c r="E18" s="2">
        <v>12.3605</v>
      </c>
      <c r="F18" s="2">
        <v>-1.5339499999999999</v>
      </c>
      <c r="G18" s="2" t="s">
        <v>91</v>
      </c>
      <c r="H18" s="2">
        <v>2024</v>
      </c>
      <c r="I18" s="2">
        <v>4.1908172134452304</v>
      </c>
      <c r="J18" s="2"/>
      <c r="K18" s="2"/>
      <c r="L18" s="2"/>
      <c r="M18" s="2"/>
      <c r="N18" s="2"/>
      <c r="O18" s="2"/>
      <c r="P18" s="2"/>
      <c r="Q18" s="2"/>
      <c r="R18" s="2"/>
      <c r="S18" s="16"/>
    </row>
    <row r="19" spans="1:19" x14ac:dyDescent="0.35">
      <c r="A19" s="15" t="s">
        <v>92</v>
      </c>
      <c r="B19" s="2" t="s">
        <v>93</v>
      </c>
      <c r="C19" s="2" t="s">
        <v>16</v>
      </c>
      <c r="D19" s="2" t="s">
        <v>94</v>
      </c>
      <c r="E19" s="2">
        <v>23.705500000000001</v>
      </c>
      <c r="F19" s="2">
        <v>90.411299999999997</v>
      </c>
      <c r="G19" s="2" t="s">
        <v>97</v>
      </c>
      <c r="H19" s="2">
        <v>2024</v>
      </c>
      <c r="I19" s="2">
        <v>10.4657482763412</v>
      </c>
      <c r="J19" s="2">
        <v>39.5</v>
      </c>
      <c r="K19" s="2">
        <v>8.8000000000000007</v>
      </c>
      <c r="L19" s="2">
        <v>38.1</v>
      </c>
      <c r="M19" s="2">
        <v>38.200000000000003</v>
      </c>
      <c r="N19" s="2">
        <v>50.8</v>
      </c>
      <c r="O19" s="2">
        <v>0.95</v>
      </c>
      <c r="P19" s="2">
        <v>1.18</v>
      </c>
      <c r="Q19" s="2">
        <v>14.5</v>
      </c>
      <c r="R19" s="2">
        <v>100</v>
      </c>
      <c r="S19" s="16">
        <v>25</v>
      </c>
    </row>
    <row r="20" spans="1:19" hidden="1" x14ac:dyDescent="0.35">
      <c r="A20" s="15" t="s">
        <v>98</v>
      </c>
      <c r="B20" s="2" t="s">
        <v>22</v>
      </c>
      <c r="C20" s="2" t="s">
        <v>3</v>
      </c>
      <c r="D20" s="2" t="s">
        <v>99</v>
      </c>
      <c r="E20" s="2">
        <v>42.710500000000003</v>
      </c>
      <c r="F20" s="2">
        <v>23.323799999999999</v>
      </c>
      <c r="G20" s="2" t="s">
        <v>102</v>
      </c>
      <c r="H20" s="2">
        <v>2024</v>
      </c>
      <c r="I20" s="2">
        <v>2.44651943006079</v>
      </c>
      <c r="J20" s="2"/>
      <c r="K20" s="2"/>
      <c r="L20" s="2"/>
      <c r="M20" s="2"/>
      <c r="N20" s="2"/>
      <c r="O20" s="2"/>
      <c r="P20" s="2"/>
      <c r="Q20" s="2"/>
      <c r="R20" s="2"/>
      <c r="S20" s="16"/>
    </row>
    <row r="21" spans="1:19" x14ac:dyDescent="0.35">
      <c r="A21" s="15" t="s">
        <v>103</v>
      </c>
      <c r="B21" s="2" t="s">
        <v>8</v>
      </c>
      <c r="C21" s="2" t="s">
        <v>3</v>
      </c>
      <c r="D21" s="2" t="s">
        <v>104</v>
      </c>
      <c r="E21" s="2">
        <v>26.1921</v>
      </c>
      <c r="F21" s="2">
        <v>50.535400000000003</v>
      </c>
      <c r="G21" s="2" t="s">
        <v>107</v>
      </c>
      <c r="H21" s="2">
        <v>2024</v>
      </c>
      <c r="I21" s="2">
        <v>0.91963545981765105</v>
      </c>
      <c r="J21" s="2">
        <v>65.2</v>
      </c>
      <c r="K21" s="2">
        <v>26.1</v>
      </c>
      <c r="L21" s="2">
        <v>61.8</v>
      </c>
      <c r="M21" s="2">
        <v>63.5</v>
      </c>
      <c r="N21" s="2">
        <v>86.2</v>
      </c>
      <c r="O21" s="2"/>
      <c r="P21" s="2"/>
      <c r="Q21" s="2"/>
      <c r="R21" s="2">
        <v>600</v>
      </c>
      <c r="S21" s="16"/>
    </row>
    <row r="22" spans="1:19" hidden="1" x14ac:dyDescent="0.35">
      <c r="A22" s="15" t="s">
        <v>108</v>
      </c>
      <c r="B22" s="2" t="s">
        <v>2</v>
      </c>
      <c r="C22" s="2" t="s">
        <v>3</v>
      </c>
      <c r="D22" s="2" t="s">
        <v>109</v>
      </c>
      <c r="E22" s="2">
        <v>25.066099999999999</v>
      </c>
      <c r="F22" s="2">
        <v>-77.338999999999999</v>
      </c>
      <c r="G22" s="2" t="s">
        <v>112</v>
      </c>
      <c r="H22" s="2">
        <v>2024</v>
      </c>
      <c r="I22" s="2">
        <v>0.40916248908328601</v>
      </c>
      <c r="J22" s="2"/>
      <c r="K22" s="2"/>
      <c r="L22" s="2"/>
      <c r="M22" s="2"/>
      <c r="N22" s="2"/>
      <c r="O22" s="2"/>
      <c r="P22" s="2"/>
      <c r="Q22" s="2"/>
      <c r="R22" s="2"/>
      <c r="S22" s="16"/>
    </row>
    <row r="23" spans="1:19" hidden="1" x14ac:dyDescent="0.35">
      <c r="A23" s="15" t="s">
        <v>113</v>
      </c>
      <c r="B23" s="2" t="s">
        <v>22</v>
      </c>
      <c r="C23" s="2" t="s">
        <v>23</v>
      </c>
      <c r="D23" s="2" t="s">
        <v>114</v>
      </c>
      <c r="E23" s="2">
        <v>43.860700000000001</v>
      </c>
      <c r="F23" s="2">
        <v>18.421399999999998</v>
      </c>
      <c r="G23" s="2" t="s">
        <v>117</v>
      </c>
      <c r="H23" s="2">
        <v>2023</v>
      </c>
      <c r="I23" s="2">
        <v>6.1059011284827998</v>
      </c>
      <c r="J23" s="2"/>
      <c r="K23" s="2"/>
      <c r="L23" s="2"/>
      <c r="M23" s="2"/>
      <c r="N23" s="2"/>
      <c r="O23" s="2"/>
      <c r="P23" s="2"/>
      <c r="Q23" s="2"/>
      <c r="R23" s="2"/>
      <c r="S23" s="16"/>
    </row>
    <row r="24" spans="1:19" hidden="1" x14ac:dyDescent="0.35">
      <c r="A24" s="15" t="s">
        <v>118</v>
      </c>
      <c r="B24" s="2" t="s">
        <v>22</v>
      </c>
      <c r="C24" s="2" t="s">
        <v>23</v>
      </c>
      <c r="D24" s="2" t="s">
        <v>119</v>
      </c>
      <c r="E24" s="2">
        <v>53.967799999999997</v>
      </c>
      <c r="F24" s="2">
        <v>27.576599999999999</v>
      </c>
      <c r="G24" s="2" t="s">
        <v>122</v>
      </c>
      <c r="H24" s="2">
        <v>2024</v>
      </c>
      <c r="I24" s="2">
        <v>5.7853191042800498</v>
      </c>
      <c r="J24" s="2"/>
      <c r="K24" s="2"/>
      <c r="L24" s="2"/>
      <c r="M24" s="2"/>
      <c r="N24" s="2"/>
      <c r="O24" s="2"/>
      <c r="P24" s="2"/>
      <c r="Q24" s="2"/>
      <c r="R24" s="2"/>
      <c r="S24" s="16"/>
    </row>
    <row r="25" spans="1:19" hidden="1" x14ac:dyDescent="0.35">
      <c r="A25" s="15" t="s">
        <v>123</v>
      </c>
      <c r="B25" s="2" t="s">
        <v>2</v>
      </c>
      <c r="C25" s="2" t="s">
        <v>23</v>
      </c>
      <c r="D25" s="2" t="s">
        <v>124</v>
      </c>
      <c r="E25" s="2">
        <v>17.253399999999999</v>
      </c>
      <c r="F25" s="2">
        <v>-88.771299999999997</v>
      </c>
      <c r="G25" s="2" t="s">
        <v>127</v>
      </c>
      <c r="H25" s="2">
        <v>2024</v>
      </c>
      <c r="I25" s="2">
        <v>3.2895598595276798</v>
      </c>
      <c r="J25" s="2"/>
      <c r="K25" s="2"/>
      <c r="L25" s="2"/>
      <c r="M25" s="2"/>
      <c r="N25" s="2"/>
      <c r="O25" s="2"/>
      <c r="P25" s="2"/>
      <c r="Q25" s="2"/>
      <c r="R25" s="2"/>
      <c r="S25" s="16"/>
    </row>
    <row r="26" spans="1:19" hidden="1" x14ac:dyDescent="0.35">
      <c r="A26" s="15" t="s">
        <v>128</v>
      </c>
      <c r="B26" s="2" t="s">
        <v>129</v>
      </c>
      <c r="C26" s="2" t="s">
        <v>3</v>
      </c>
      <c r="D26" s="2" t="s">
        <v>130</v>
      </c>
      <c r="E26" s="2">
        <v>32.329300000000003</v>
      </c>
      <c r="F26" s="2">
        <v>-64.706000000000003</v>
      </c>
      <c r="G26" s="2"/>
      <c r="H26" s="2"/>
      <c r="I26" s="2"/>
      <c r="J26" s="2"/>
      <c r="K26" s="2"/>
      <c r="L26" s="2"/>
      <c r="M26" s="2"/>
      <c r="N26" s="2"/>
      <c r="O26" s="2">
        <v>8.61</v>
      </c>
      <c r="P26" s="2"/>
      <c r="Q26" s="2"/>
      <c r="R26" s="2"/>
      <c r="S26" s="16"/>
    </row>
    <row r="27" spans="1:19" hidden="1" x14ac:dyDescent="0.35">
      <c r="A27" s="15" t="s">
        <v>133</v>
      </c>
      <c r="B27" s="2" t="s">
        <v>2</v>
      </c>
      <c r="C27" s="2" t="s">
        <v>16</v>
      </c>
      <c r="D27" s="2" t="s">
        <v>134</v>
      </c>
      <c r="E27" s="2">
        <v>-13.9908</v>
      </c>
      <c r="F27" s="2">
        <v>-66.193600000000004</v>
      </c>
      <c r="G27" s="2" t="s">
        <v>137</v>
      </c>
      <c r="H27" s="2">
        <v>2024</v>
      </c>
      <c r="I27" s="2">
        <v>5.0997656831742697</v>
      </c>
      <c r="J27" s="2"/>
      <c r="K27" s="2"/>
      <c r="L27" s="2"/>
      <c r="M27" s="2"/>
      <c r="N27" s="2"/>
      <c r="O27" s="2"/>
      <c r="P27" s="2"/>
      <c r="Q27" s="2"/>
      <c r="R27" s="2"/>
      <c r="S27" s="16"/>
    </row>
    <row r="28" spans="1:19" x14ac:dyDescent="0.35">
      <c r="A28" s="15" t="s">
        <v>138</v>
      </c>
      <c r="B28" s="2" t="s">
        <v>2</v>
      </c>
      <c r="C28" s="2" t="s">
        <v>23</v>
      </c>
      <c r="D28" s="2" t="s">
        <v>139</v>
      </c>
      <c r="E28" s="2">
        <v>-15.780099999999999</v>
      </c>
      <c r="F28" s="2">
        <v>-47.929200000000002</v>
      </c>
      <c r="G28" s="2" t="s">
        <v>142</v>
      </c>
      <c r="H28" s="2">
        <v>2024</v>
      </c>
      <c r="I28" s="2">
        <v>4.3674640765233699</v>
      </c>
      <c r="J28" s="2">
        <v>51.4</v>
      </c>
      <c r="K28" s="2">
        <v>15.9</v>
      </c>
      <c r="L28" s="2">
        <v>49.2</v>
      </c>
      <c r="M28" s="2">
        <v>50.1</v>
      </c>
      <c r="N28" s="2">
        <v>67.5</v>
      </c>
      <c r="O28" s="2">
        <v>1.85</v>
      </c>
      <c r="P28" s="2">
        <v>2.85</v>
      </c>
      <c r="Q28" s="2">
        <v>52.4</v>
      </c>
      <c r="R28" s="2">
        <v>270</v>
      </c>
      <c r="S28" s="16">
        <v>70</v>
      </c>
    </row>
    <row r="29" spans="1:19" x14ac:dyDescent="0.35">
      <c r="A29" s="15" t="s">
        <v>143</v>
      </c>
      <c r="B29" s="2" t="s">
        <v>2</v>
      </c>
      <c r="C29" s="2" t="s">
        <v>3</v>
      </c>
      <c r="D29" s="2" t="s">
        <v>144</v>
      </c>
      <c r="E29" s="2">
        <v>13.093500000000001</v>
      </c>
      <c r="F29" s="2">
        <v>-59.610500000000002</v>
      </c>
      <c r="G29" s="2" t="s">
        <v>147</v>
      </c>
      <c r="H29" s="2">
        <v>2024</v>
      </c>
      <c r="I29" s="2">
        <v>1.4464366430616</v>
      </c>
      <c r="J29" s="2">
        <v>75.2</v>
      </c>
      <c r="K29" s="2">
        <v>41.8</v>
      </c>
      <c r="L29" s="2">
        <v>70.8</v>
      </c>
      <c r="M29" s="2">
        <v>73.2</v>
      </c>
      <c r="N29" s="2">
        <v>88.5</v>
      </c>
      <c r="O29" s="2"/>
      <c r="P29" s="2"/>
      <c r="Q29" s="2"/>
      <c r="R29" s="2">
        <v>1200</v>
      </c>
      <c r="S29" s="16"/>
    </row>
    <row r="30" spans="1:19" hidden="1" x14ac:dyDescent="0.35">
      <c r="A30" s="15" t="s">
        <v>148</v>
      </c>
      <c r="B30" s="2" t="s">
        <v>48</v>
      </c>
      <c r="C30" s="2" t="s">
        <v>3</v>
      </c>
      <c r="D30" s="2" t="s">
        <v>149</v>
      </c>
      <c r="E30" s="2">
        <v>4.9419899999999997</v>
      </c>
      <c r="F30" s="2">
        <v>114.946</v>
      </c>
      <c r="G30" s="2" t="s">
        <v>152</v>
      </c>
      <c r="H30" s="2">
        <v>2024</v>
      </c>
      <c r="I30" s="2">
        <v>-0.38867416503646102</v>
      </c>
      <c r="J30" s="2"/>
      <c r="K30" s="2"/>
      <c r="L30" s="2"/>
      <c r="M30" s="2"/>
      <c r="N30" s="2"/>
      <c r="O30" s="2"/>
      <c r="P30" s="2"/>
      <c r="Q30" s="2"/>
      <c r="R30" s="2"/>
      <c r="S30" s="16"/>
    </row>
    <row r="31" spans="1:19" hidden="1" x14ac:dyDescent="0.35">
      <c r="A31" s="15" t="s">
        <v>153</v>
      </c>
      <c r="B31" s="2" t="s">
        <v>93</v>
      </c>
      <c r="C31" s="2" t="s">
        <v>16</v>
      </c>
      <c r="D31" s="2" t="s">
        <v>154</v>
      </c>
      <c r="E31" s="2">
        <v>27.576799999999999</v>
      </c>
      <c r="F31" s="2">
        <v>89.617699999999999</v>
      </c>
      <c r="G31" s="2" t="s">
        <v>157</v>
      </c>
      <c r="H31" s="2">
        <v>2024</v>
      </c>
      <c r="I31" s="2">
        <v>2.7613156962409802</v>
      </c>
      <c r="J31" s="2"/>
      <c r="K31" s="2"/>
      <c r="L31" s="2"/>
      <c r="M31" s="2"/>
      <c r="N31" s="2"/>
      <c r="O31" s="2"/>
      <c r="P31" s="2"/>
      <c r="Q31" s="2"/>
      <c r="R31" s="2"/>
      <c r="S31" s="16"/>
    </row>
    <row r="32" spans="1:19" hidden="1" x14ac:dyDescent="0.35">
      <c r="A32" s="15" t="s">
        <v>158</v>
      </c>
      <c r="B32" s="2" t="s">
        <v>15</v>
      </c>
      <c r="C32" s="2" t="s">
        <v>23</v>
      </c>
      <c r="D32" s="2" t="s">
        <v>159</v>
      </c>
      <c r="E32" s="2">
        <v>-24.654399999999999</v>
      </c>
      <c r="F32" s="2">
        <v>25.920100000000001</v>
      </c>
      <c r="G32" s="2" t="s">
        <v>162</v>
      </c>
      <c r="H32" s="2">
        <v>2024</v>
      </c>
      <c r="I32" s="2">
        <v>2.8183513167625098</v>
      </c>
      <c r="J32" s="2"/>
      <c r="K32" s="2"/>
      <c r="L32" s="2"/>
      <c r="M32" s="2"/>
      <c r="N32" s="2"/>
      <c r="O32" s="2"/>
      <c r="P32" s="2"/>
      <c r="Q32" s="2"/>
      <c r="R32" s="2"/>
      <c r="S32" s="16"/>
    </row>
    <row r="33" spans="1:19" hidden="1" x14ac:dyDescent="0.35">
      <c r="A33" s="15" t="s">
        <v>163</v>
      </c>
      <c r="B33" s="2" t="s">
        <v>15</v>
      </c>
      <c r="C33" s="2" t="s">
        <v>9</v>
      </c>
      <c r="D33" s="2" t="s">
        <v>164</v>
      </c>
      <c r="E33" s="2">
        <v>5.63056</v>
      </c>
      <c r="F33" s="2">
        <v>21.640699999999999</v>
      </c>
      <c r="G33" s="2" t="s">
        <v>167</v>
      </c>
      <c r="H33" s="2">
        <v>2024</v>
      </c>
      <c r="I33" s="2">
        <v>1.47733600718744</v>
      </c>
      <c r="J33" s="2"/>
      <c r="K33" s="2"/>
      <c r="L33" s="2"/>
      <c r="M33" s="2"/>
      <c r="N33" s="2"/>
      <c r="O33" s="2"/>
      <c r="P33" s="2"/>
      <c r="Q33" s="2"/>
      <c r="R33" s="2"/>
      <c r="S33" s="16"/>
    </row>
    <row r="34" spans="1:19" x14ac:dyDescent="0.35">
      <c r="A34" s="15" t="s">
        <v>168</v>
      </c>
      <c r="B34" s="2" t="s">
        <v>129</v>
      </c>
      <c r="C34" s="2" t="s">
        <v>3</v>
      </c>
      <c r="D34" s="2" t="s">
        <v>169</v>
      </c>
      <c r="E34" s="2">
        <v>45.421500000000002</v>
      </c>
      <c r="F34" s="2">
        <v>-75.691900000000004</v>
      </c>
      <c r="G34" s="2" t="s">
        <v>172</v>
      </c>
      <c r="H34" s="2">
        <v>2024</v>
      </c>
      <c r="I34" s="2">
        <v>2.3815838328117298</v>
      </c>
      <c r="J34" s="2">
        <v>65.400000000000006</v>
      </c>
      <c r="K34" s="2">
        <v>28.4</v>
      </c>
      <c r="L34" s="2">
        <v>61.5</v>
      </c>
      <c r="M34" s="2">
        <v>64.2</v>
      </c>
      <c r="N34" s="2">
        <v>92.1</v>
      </c>
      <c r="O34" s="2">
        <v>3.18</v>
      </c>
      <c r="P34" s="2"/>
      <c r="Q34" s="2"/>
      <c r="R34" s="2">
        <v>1200</v>
      </c>
      <c r="S34" s="16">
        <v>145</v>
      </c>
    </row>
    <row r="35" spans="1:19" x14ac:dyDescent="0.35">
      <c r="A35" s="15" t="s">
        <v>173</v>
      </c>
      <c r="B35" s="2" t="s">
        <v>22</v>
      </c>
      <c r="C35" s="2" t="s">
        <v>3</v>
      </c>
      <c r="D35" s="2" t="s">
        <v>174</v>
      </c>
      <c r="E35" s="2">
        <v>46.948</v>
      </c>
      <c r="F35" s="2">
        <v>7.4482100000000004</v>
      </c>
      <c r="G35" s="2" t="s">
        <v>177</v>
      </c>
      <c r="H35" s="2">
        <v>2024</v>
      </c>
      <c r="I35" s="2">
        <v>1.0623404197659501</v>
      </c>
      <c r="J35" s="2">
        <v>82.3</v>
      </c>
      <c r="K35" s="2">
        <v>50.1</v>
      </c>
      <c r="L35" s="2">
        <v>75.2</v>
      </c>
      <c r="M35" s="2">
        <v>88.4</v>
      </c>
      <c r="N35" s="2">
        <v>120.5</v>
      </c>
      <c r="O35" s="2">
        <v>3.81</v>
      </c>
      <c r="P35" s="2">
        <v>6.36</v>
      </c>
      <c r="Q35" s="2">
        <v>149.69999999999999</v>
      </c>
      <c r="R35" s="2">
        <v>1850</v>
      </c>
      <c r="S35" s="16">
        <v>220</v>
      </c>
    </row>
    <row r="36" spans="1:19" hidden="1" x14ac:dyDescent="0.35">
      <c r="A36" s="15" t="s">
        <v>178</v>
      </c>
      <c r="B36" s="2" t="s">
        <v>22</v>
      </c>
      <c r="C36" s="2" t="s">
        <v>3</v>
      </c>
      <c r="D36" s="2"/>
      <c r="E36" s="2"/>
      <c r="F36" s="2"/>
      <c r="G36" s="2"/>
      <c r="H36" s="2"/>
      <c r="I36" s="2"/>
      <c r="J36" s="2"/>
      <c r="K36" s="2"/>
      <c r="L36" s="2"/>
      <c r="M36" s="2"/>
      <c r="N36" s="2"/>
      <c r="O36" s="2"/>
      <c r="P36" s="2"/>
      <c r="Q36" s="2"/>
      <c r="R36" s="2"/>
      <c r="S36" s="16"/>
    </row>
    <row r="37" spans="1:19" hidden="1" x14ac:dyDescent="0.35">
      <c r="A37" s="15" t="s">
        <v>179</v>
      </c>
      <c r="B37" s="2" t="s">
        <v>2</v>
      </c>
      <c r="C37" s="2" t="s">
        <v>3</v>
      </c>
      <c r="D37" s="2" t="s">
        <v>180</v>
      </c>
      <c r="E37" s="2">
        <v>-33.475000000000001</v>
      </c>
      <c r="F37" s="2">
        <v>-70.647499999999994</v>
      </c>
      <c r="G37" s="2" t="s">
        <v>183</v>
      </c>
      <c r="H37" s="2">
        <v>2024</v>
      </c>
      <c r="I37" s="2">
        <v>4.2976389157252397</v>
      </c>
      <c r="J37" s="2"/>
      <c r="K37" s="2"/>
      <c r="L37" s="2"/>
      <c r="M37" s="2"/>
      <c r="N37" s="2"/>
      <c r="O37" s="2"/>
      <c r="P37" s="2"/>
      <c r="Q37" s="2"/>
      <c r="R37" s="2"/>
      <c r="S37" s="16"/>
    </row>
    <row r="38" spans="1:19" x14ac:dyDescent="0.35">
      <c r="A38" s="15" t="s">
        <v>184</v>
      </c>
      <c r="B38" s="2" t="s">
        <v>48</v>
      </c>
      <c r="C38" s="2" t="s">
        <v>23</v>
      </c>
      <c r="D38" s="2" t="s">
        <v>185</v>
      </c>
      <c r="E38" s="2">
        <v>40.049500000000002</v>
      </c>
      <c r="F38" s="2">
        <v>116.286</v>
      </c>
      <c r="G38" s="2" t="s">
        <v>188</v>
      </c>
      <c r="H38" s="2">
        <v>2024</v>
      </c>
      <c r="I38" s="2">
        <v>0.21812893843917699</v>
      </c>
      <c r="J38" s="2">
        <v>49.8</v>
      </c>
      <c r="K38" s="2">
        <v>14.8</v>
      </c>
      <c r="L38" s="2">
        <v>47.8</v>
      </c>
      <c r="M38" s="2">
        <v>48.5</v>
      </c>
      <c r="N38" s="2">
        <v>64.2</v>
      </c>
      <c r="O38" s="2">
        <v>1.65</v>
      </c>
      <c r="P38" s="2">
        <v>2.4500000000000002</v>
      </c>
      <c r="Q38" s="2">
        <v>42.8</v>
      </c>
      <c r="R38" s="2">
        <v>540</v>
      </c>
      <c r="S38" s="16">
        <v>80</v>
      </c>
    </row>
    <row r="39" spans="1:19" hidden="1" x14ac:dyDescent="0.35">
      <c r="A39" s="15" t="s">
        <v>189</v>
      </c>
      <c r="B39" s="2" t="s">
        <v>15</v>
      </c>
      <c r="C39" s="2" t="s">
        <v>16</v>
      </c>
      <c r="D39" s="2" t="s">
        <v>190</v>
      </c>
      <c r="E39" s="2">
        <v>5.3319999999999999</v>
      </c>
      <c r="F39" s="2">
        <v>-4.0305</v>
      </c>
      <c r="G39" s="2" t="s">
        <v>193</v>
      </c>
      <c r="H39" s="2">
        <v>2024</v>
      </c>
      <c r="I39" s="2">
        <v>3.4505302813101899</v>
      </c>
      <c r="J39" s="2"/>
      <c r="K39" s="2"/>
      <c r="L39" s="2"/>
      <c r="M39" s="2"/>
      <c r="N39" s="2"/>
      <c r="O39" s="2"/>
      <c r="P39" s="2"/>
      <c r="Q39" s="2"/>
      <c r="R39" s="2"/>
      <c r="S39" s="16"/>
    </row>
    <row r="40" spans="1:19" hidden="1" x14ac:dyDescent="0.35">
      <c r="A40" s="15" t="s">
        <v>194</v>
      </c>
      <c r="B40" s="2" t="s">
        <v>15</v>
      </c>
      <c r="C40" s="2" t="s">
        <v>16</v>
      </c>
      <c r="D40" s="2" t="s">
        <v>195</v>
      </c>
      <c r="E40" s="2">
        <v>3.8721000000000001</v>
      </c>
      <c r="F40" s="2">
        <v>11.5174</v>
      </c>
      <c r="G40" s="2" t="s">
        <v>198</v>
      </c>
      <c r="H40" s="2">
        <v>2024</v>
      </c>
      <c r="I40" s="2">
        <v>4.53331349711606</v>
      </c>
      <c r="J40" s="2"/>
      <c r="K40" s="2"/>
      <c r="L40" s="2"/>
      <c r="M40" s="2"/>
      <c r="N40" s="2"/>
      <c r="O40" s="2"/>
      <c r="P40" s="2"/>
      <c r="Q40" s="2"/>
      <c r="R40" s="2"/>
      <c r="S40" s="16"/>
    </row>
    <row r="41" spans="1:19" hidden="1" x14ac:dyDescent="0.35">
      <c r="A41" s="15" t="s">
        <v>199</v>
      </c>
      <c r="B41" s="2" t="s">
        <v>15</v>
      </c>
      <c r="C41" s="2" t="s">
        <v>9</v>
      </c>
      <c r="D41" s="2" t="s">
        <v>200</v>
      </c>
      <c r="E41" s="2">
        <v>-4.3250000000000002</v>
      </c>
      <c r="F41" s="2">
        <v>15.3222</v>
      </c>
      <c r="G41" s="2"/>
      <c r="H41" s="2"/>
      <c r="I41" s="2"/>
      <c r="J41" s="2"/>
      <c r="K41" s="2"/>
      <c r="L41" s="2"/>
      <c r="M41" s="2"/>
      <c r="N41" s="2"/>
      <c r="O41" s="2"/>
      <c r="P41" s="2"/>
      <c r="Q41" s="2"/>
      <c r="R41" s="2"/>
      <c r="S41" s="16"/>
    </row>
    <row r="42" spans="1:19" hidden="1" x14ac:dyDescent="0.35">
      <c r="A42" s="15" t="s">
        <v>203</v>
      </c>
      <c r="B42" s="2" t="s">
        <v>15</v>
      </c>
      <c r="C42" s="2" t="s">
        <v>16</v>
      </c>
      <c r="D42" s="2" t="s">
        <v>204</v>
      </c>
      <c r="E42" s="2">
        <v>-4.2766999999999999</v>
      </c>
      <c r="F42" s="2">
        <v>15.2662</v>
      </c>
      <c r="G42" s="2" t="s">
        <v>207</v>
      </c>
      <c r="H42" s="2">
        <v>2024</v>
      </c>
      <c r="I42" s="2">
        <v>3.0914363091916601</v>
      </c>
      <c r="J42" s="2"/>
      <c r="K42" s="2"/>
      <c r="L42" s="2"/>
      <c r="M42" s="2"/>
      <c r="N42" s="2"/>
      <c r="O42" s="2"/>
      <c r="P42" s="2"/>
      <c r="Q42" s="2"/>
      <c r="R42" s="2"/>
      <c r="S42" s="16"/>
    </row>
    <row r="43" spans="1:19" hidden="1" x14ac:dyDescent="0.35">
      <c r="A43" s="15" t="s">
        <v>208</v>
      </c>
      <c r="B43" s="2" t="s">
        <v>2</v>
      </c>
      <c r="C43" s="2" t="s">
        <v>23</v>
      </c>
      <c r="D43" s="2" t="s">
        <v>209</v>
      </c>
      <c r="E43" s="2">
        <v>4.6098699999999999</v>
      </c>
      <c r="F43" s="2">
        <v>-74.081999999999994</v>
      </c>
      <c r="G43" s="2" t="s">
        <v>212</v>
      </c>
      <c r="H43" s="2">
        <v>2024</v>
      </c>
      <c r="I43" s="2">
        <v>6.6090859372822797</v>
      </c>
      <c r="J43" s="2"/>
      <c r="K43" s="2"/>
      <c r="L43" s="2"/>
      <c r="M43" s="2"/>
      <c r="N43" s="2"/>
      <c r="O43" s="2"/>
      <c r="P43" s="2"/>
      <c r="Q43" s="2"/>
      <c r="R43" s="2"/>
      <c r="S43" s="16"/>
    </row>
    <row r="44" spans="1:19" hidden="1" x14ac:dyDescent="0.35">
      <c r="A44" s="15" t="s">
        <v>213</v>
      </c>
      <c r="B44" s="2" t="s">
        <v>15</v>
      </c>
      <c r="C44" s="2" t="s">
        <v>16</v>
      </c>
      <c r="D44" s="2" t="s">
        <v>214</v>
      </c>
      <c r="E44" s="2">
        <v>-11.698600000000001</v>
      </c>
      <c r="F44" s="2">
        <v>43.241799999999998</v>
      </c>
      <c r="G44" s="2" t="s">
        <v>217</v>
      </c>
      <c r="H44" s="2">
        <v>2024</v>
      </c>
      <c r="I44" s="2">
        <v>5.0519260958821803</v>
      </c>
      <c r="J44" s="2"/>
      <c r="K44" s="2"/>
      <c r="L44" s="2"/>
      <c r="M44" s="2"/>
      <c r="N44" s="2"/>
      <c r="O44" s="2"/>
      <c r="P44" s="2"/>
      <c r="Q44" s="2"/>
      <c r="R44" s="2"/>
      <c r="S44" s="16"/>
    </row>
    <row r="45" spans="1:19" hidden="1" x14ac:dyDescent="0.35">
      <c r="A45" s="15" t="s">
        <v>218</v>
      </c>
      <c r="B45" s="2" t="s">
        <v>15</v>
      </c>
      <c r="C45" s="2" t="s">
        <v>23</v>
      </c>
      <c r="D45" s="2" t="s">
        <v>219</v>
      </c>
      <c r="E45" s="2">
        <v>14.921799999999999</v>
      </c>
      <c r="F45" s="2">
        <v>-23.508700000000001</v>
      </c>
      <c r="G45" s="2" t="s">
        <v>222</v>
      </c>
      <c r="H45" s="2">
        <v>2024</v>
      </c>
      <c r="I45" s="2">
        <v>1.0481700109196499</v>
      </c>
      <c r="J45" s="2"/>
      <c r="K45" s="2"/>
      <c r="L45" s="2"/>
      <c r="M45" s="2"/>
      <c r="N45" s="2"/>
      <c r="O45" s="2"/>
      <c r="P45" s="2"/>
      <c r="Q45" s="2"/>
      <c r="R45" s="2"/>
      <c r="S45" s="16"/>
    </row>
    <row r="46" spans="1:19" hidden="1" x14ac:dyDescent="0.35">
      <c r="A46" s="15" t="s">
        <v>223</v>
      </c>
      <c r="B46" s="2" t="s">
        <v>2</v>
      </c>
      <c r="C46" s="2" t="s">
        <v>3</v>
      </c>
      <c r="D46" s="2" t="s">
        <v>224</v>
      </c>
      <c r="E46" s="2">
        <v>9.6370100000000001</v>
      </c>
      <c r="F46" s="2">
        <v>-84.008899999999997</v>
      </c>
      <c r="G46" s="2" t="s">
        <v>227</v>
      </c>
      <c r="H46" s="2">
        <v>2024</v>
      </c>
      <c r="I46" s="2">
        <v>-0.41285300104706901</v>
      </c>
      <c r="J46" s="2"/>
      <c r="K46" s="2"/>
      <c r="L46" s="2"/>
      <c r="M46" s="2"/>
      <c r="N46" s="2"/>
      <c r="O46" s="2"/>
      <c r="P46" s="2"/>
      <c r="Q46" s="2"/>
      <c r="R46" s="2"/>
      <c r="S46" s="16"/>
    </row>
    <row r="47" spans="1:19" hidden="1" x14ac:dyDescent="0.35">
      <c r="A47" s="15" t="s">
        <v>228</v>
      </c>
      <c r="B47" s="2" t="s">
        <v>2</v>
      </c>
      <c r="C47" s="2" t="s">
        <v>23</v>
      </c>
      <c r="D47" s="2" t="s">
        <v>229</v>
      </c>
      <c r="E47" s="2">
        <v>23.133299999999998</v>
      </c>
      <c r="F47" s="2">
        <v>-82.366699999999994</v>
      </c>
      <c r="G47" s="2"/>
      <c r="H47" s="2"/>
      <c r="I47" s="2"/>
      <c r="J47" s="2"/>
      <c r="K47" s="2"/>
      <c r="L47" s="2"/>
      <c r="M47" s="2"/>
      <c r="N47" s="2"/>
      <c r="O47" s="2"/>
      <c r="P47" s="2"/>
      <c r="Q47" s="2"/>
      <c r="R47" s="2"/>
      <c r="S47" s="16"/>
    </row>
    <row r="48" spans="1:19" hidden="1" x14ac:dyDescent="0.35">
      <c r="A48" s="15" t="s">
        <v>232</v>
      </c>
      <c r="B48" s="2" t="s">
        <v>2</v>
      </c>
      <c r="C48" s="2" t="s">
        <v>3</v>
      </c>
      <c r="D48" s="2" t="s">
        <v>233</v>
      </c>
      <c r="E48" s="2"/>
      <c r="F48" s="2"/>
      <c r="G48" s="2"/>
      <c r="H48" s="2"/>
      <c r="I48" s="2"/>
      <c r="J48" s="2"/>
      <c r="K48" s="2"/>
      <c r="L48" s="2"/>
      <c r="M48" s="2"/>
      <c r="N48" s="2"/>
      <c r="O48" s="2"/>
      <c r="P48" s="2"/>
      <c r="Q48" s="2"/>
      <c r="R48" s="2"/>
      <c r="S48" s="16"/>
    </row>
    <row r="49" spans="1:19" hidden="1" x14ac:dyDescent="0.35">
      <c r="A49" s="15" t="s">
        <v>234</v>
      </c>
      <c r="B49" s="2" t="s">
        <v>2</v>
      </c>
      <c r="C49" s="2" t="s">
        <v>3</v>
      </c>
      <c r="D49" s="2" t="s">
        <v>235</v>
      </c>
      <c r="E49" s="2">
        <v>19.302199999999999</v>
      </c>
      <c r="F49" s="2">
        <v>-81.3857</v>
      </c>
      <c r="G49" s="2"/>
      <c r="H49" s="2"/>
      <c r="I49" s="2"/>
      <c r="J49" s="2">
        <v>94.3</v>
      </c>
      <c r="K49" s="2">
        <v>60.2</v>
      </c>
      <c r="L49" s="2">
        <v>85.6</v>
      </c>
      <c r="M49" s="2">
        <v>92.1</v>
      </c>
      <c r="N49" s="2">
        <v>115.8</v>
      </c>
      <c r="O49" s="2">
        <v>6.36</v>
      </c>
      <c r="P49" s="2"/>
      <c r="Q49" s="2"/>
      <c r="R49" s="2">
        <v>2500</v>
      </c>
      <c r="S49" s="16"/>
    </row>
    <row r="50" spans="1:19" hidden="1" x14ac:dyDescent="0.35">
      <c r="A50" s="15" t="s">
        <v>238</v>
      </c>
      <c r="B50" s="2" t="s">
        <v>22</v>
      </c>
      <c r="C50" s="2" t="s">
        <v>3</v>
      </c>
      <c r="D50" s="2" t="s">
        <v>239</v>
      </c>
      <c r="E50" s="2">
        <v>35.1676</v>
      </c>
      <c r="F50" s="2">
        <v>33.373600000000003</v>
      </c>
      <c r="G50" s="2" t="s">
        <v>242</v>
      </c>
      <c r="H50" s="2">
        <v>2024</v>
      </c>
      <c r="I50" s="2">
        <v>1.8002301862482399</v>
      </c>
      <c r="J50" s="2"/>
      <c r="K50" s="2"/>
      <c r="L50" s="2"/>
      <c r="M50" s="2"/>
      <c r="N50" s="2"/>
      <c r="O50" s="2"/>
      <c r="P50" s="2"/>
      <c r="Q50" s="2"/>
      <c r="R50" s="2"/>
      <c r="S50" s="16"/>
    </row>
    <row r="51" spans="1:19" hidden="1" x14ac:dyDescent="0.35">
      <c r="A51" s="15" t="s">
        <v>243</v>
      </c>
      <c r="B51" s="2" t="s">
        <v>22</v>
      </c>
      <c r="C51" s="2" t="s">
        <v>3</v>
      </c>
      <c r="D51" s="2" t="s">
        <v>244</v>
      </c>
      <c r="E51" s="2">
        <v>50.087800000000001</v>
      </c>
      <c r="F51" s="2">
        <v>14.420500000000001</v>
      </c>
      <c r="G51" s="2" t="s">
        <v>247</v>
      </c>
      <c r="H51" s="2">
        <v>2024</v>
      </c>
      <c r="I51" s="2">
        <v>2.4353120243531401</v>
      </c>
      <c r="J51" s="2"/>
      <c r="K51" s="2"/>
      <c r="L51" s="2"/>
      <c r="M51" s="2"/>
      <c r="N51" s="2"/>
      <c r="O51" s="2"/>
      <c r="P51" s="2"/>
      <c r="Q51" s="2"/>
      <c r="R51" s="2"/>
      <c r="S51" s="16"/>
    </row>
    <row r="52" spans="1:19" x14ac:dyDescent="0.35">
      <c r="A52" s="15" t="s">
        <v>248</v>
      </c>
      <c r="B52" s="2" t="s">
        <v>22</v>
      </c>
      <c r="C52" s="2" t="s">
        <v>3</v>
      </c>
      <c r="D52" s="2" t="s">
        <v>249</v>
      </c>
      <c r="E52" s="2">
        <v>52.523499999999999</v>
      </c>
      <c r="F52" s="2">
        <v>13.4115</v>
      </c>
      <c r="G52" s="2" t="s">
        <v>252</v>
      </c>
      <c r="H52" s="2">
        <v>2024</v>
      </c>
      <c r="I52" s="2">
        <v>2.2564981433876001</v>
      </c>
      <c r="J52" s="2">
        <v>64.099999999999994</v>
      </c>
      <c r="K52" s="2">
        <v>26.5</v>
      </c>
      <c r="L52" s="2">
        <v>59.7</v>
      </c>
      <c r="M52" s="2">
        <v>62.8</v>
      </c>
      <c r="N52" s="2">
        <v>91.3</v>
      </c>
      <c r="O52" s="2">
        <v>2.72</v>
      </c>
      <c r="P52" s="2">
        <v>4.8499999999999996</v>
      </c>
      <c r="Q52" s="2">
        <v>112.3</v>
      </c>
      <c r="R52" s="2">
        <v>850</v>
      </c>
      <c r="S52" s="16">
        <v>170</v>
      </c>
    </row>
    <row r="53" spans="1:19" hidden="1" x14ac:dyDescent="0.35">
      <c r="A53" s="15" t="s">
        <v>253</v>
      </c>
      <c r="B53" s="2" t="s">
        <v>8</v>
      </c>
      <c r="C53" s="2" t="s">
        <v>16</v>
      </c>
      <c r="D53" s="2" t="s">
        <v>253</v>
      </c>
      <c r="E53" s="2">
        <v>11.5806</v>
      </c>
      <c r="F53" s="2">
        <v>43.142499999999998</v>
      </c>
      <c r="G53" s="2" t="s">
        <v>256</v>
      </c>
      <c r="H53" s="2">
        <v>2024</v>
      </c>
      <c r="I53" s="2">
        <v>2.1120116728496998</v>
      </c>
      <c r="J53" s="2"/>
      <c r="K53" s="2"/>
      <c r="L53" s="2"/>
      <c r="M53" s="2"/>
      <c r="N53" s="2"/>
      <c r="O53" s="2">
        <v>9.5299999999999994</v>
      </c>
      <c r="P53" s="2"/>
      <c r="Q53" s="2"/>
      <c r="R53" s="2"/>
      <c r="S53" s="16"/>
    </row>
    <row r="54" spans="1:19" hidden="1" x14ac:dyDescent="0.35">
      <c r="A54" s="15" t="s">
        <v>257</v>
      </c>
      <c r="B54" s="2" t="s">
        <v>2</v>
      </c>
      <c r="C54" s="2" t="s">
        <v>23</v>
      </c>
      <c r="D54" s="2" t="s">
        <v>258</v>
      </c>
      <c r="E54" s="2">
        <v>15.297599999999999</v>
      </c>
      <c r="F54" s="2">
        <v>-61.39</v>
      </c>
      <c r="G54" s="2" t="s">
        <v>261</v>
      </c>
      <c r="H54" s="2">
        <v>2024</v>
      </c>
      <c r="I54" s="2">
        <v>2.7362075187331301</v>
      </c>
      <c r="J54" s="2"/>
      <c r="K54" s="2"/>
      <c r="L54" s="2"/>
      <c r="M54" s="2"/>
      <c r="N54" s="2"/>
      <c r="O54" s="2"/>
      <c r="P54" s="2"/>
      <c r="Q54" s="2"/>
      <c r="R54" s="2"/>
      <c r="S54" s="16"/>
    </row>
    <row r="55" spans="1:19" x14ac:dyDescent="0.35">
      <c r="A55" s="15" t="s">
        <v>262</v>
      </c>
      <c r="B55" s="2" t="s">
        <v>22</v>
      </c>
      <c r="C55" s="2" t="s">
        <v>3</v>
      </c>
      <c r="D55" s="2" t="s">
        <v>263</v>
      </c>
      <c r="E55" s="2">
        <v>55.676299999999998</v>
      </c>
      <c r="F55" s="2">
        <v>12.568099999999999</v>
      </c>
      <c r="G55" s="2" t="s">
        <v>266</v>
      </c>
      <c r="H55" s="2">
        <v>2024</v>
      </c>
      <c r="I55" s="2">
        <v>1.3722004976892599</v>
      </c>
      <c r="J55" s="2">
        <v>72.099999999999994</v>
      </c>
      <c r="K55" s="2">
        <v>36.4</v>
      </c>
      <c r="L55" s="2">
        <v>67.2</v>
      </c>
      <c r="M55" s="2">
        <v>75.3</v>
      </c>
      <c r="N55" s="2">
        <v>102.8</v>
      </c>
      <c r="O55" s="2">
        <v>3.48</v>
      </c>
      <c r="P55" s="2">
        <v>5.42</v>
      </c>
      <c r="Q55" s="2">
        <v>128.5</v>
      </c>
      <c r="R55" s="2"/>
      <c r="S55" s="16"/>
    </row>
    <row r="56" spans="1:19" hidden="1" x14ac:dyDescent="0.35">
      <c r="A56" s="15" t="s">
        <v>267</v>
      </c>
      <c r="B56" s="2" t="s">
        <v>2</v>
      </c>
      <c r="C56" s="2" t="s">
        <v>23</v>
      </c>
      <c r="D56" s="2" t="s">
        <v>268</v>
      </c>
      <c r="E56" s="2">
        <v>18.478999999999999</v>
      </c>
      <c r="F56" s="2">
        <v>-69.890799999999999</v>
      </c>
      <c r="G56" s="2" t="s">
        <v>271</v>
      </c>
      <c r="H56" s="2">
        <v>2024</v>
      </c>
      <c r="I56" s="2">
        <v>3.3022333895122702</v>
      </c>
      <c r="J56" s="2"/>
      <c r="K56" s="2"/>
      <c r="L56" s="2"/>
      <c r="M56" s="2"/>
      <c r="N56" s="2"/>
      <c r="O56" s="2"/>
      <c r="P56" s="2"/>
      <c r="Q56" s="2"/>
      <c r="R56" s="2"/>
      <c r="S56" s="16"/>
    </row>
    <row r="57" spans="1:19" hidden="1" x14ac:dyDescent="0.35">
      <c r="A57" s="15" t="s">
        <v>272</v>
      </c>
      <c r="B57" s="2" t="s">
        <v>8</v>
      </c>
      <c r="C57" s="2" t="s">
        <v>23</v>
      </c>
      <c r="D57" s="2" t="s">
        <v>273</v>
      </c>
      <c r="E57" s="2">
        <v>36.739699999999999</v>
      </c>
      <c r="F57" s="2">
        <v>3.05097</v>
      </c>
      <c r="G57" s="2" t="s">
        <v>276</v>
      </c>
      <c r="H57" s="2">
        <v>2024</v>
      </c>
      <c r="I57" s="2">
        <v>4.0461145531343403</v>
      </c>
      <c r="J57" s="2"/>
      <c r="K57" s="2"/>
      <c r="L57" s="2"/>
      <c r="M57" s="2"/>
      <c r="N57" s="2"/>
      <c r="O57" s="2"/>
      <c r="P57" s="2"/>
      <c r="Q57" s="2"/>
      <c r="R57" s="2"/>
      <c r="S57" s="16"/>
    </row>
    <row r="58" spans="1:19" hidden="1" x14ac:dyDescent="0.35">
      <c r="A58" s="15" t="s">
        <v>277</v>
      </c>
      <c r="B58" s="2" t="s">
        <v>2</v>
      </c>
      <c r="C58" s="2" t="s">
        <v>23</v>
      </c>
      <c r="D58" s="2" t="s">
        <v>278</v>
      </c>
      <c r="E58" s="2">
        <v>-0.22949800000000001</v>
      </c>
      <c r="F58" s="2">
        <v>-78.524299999999997</v>
      </c>
      <c r="G58" s="2" t="s">
        <v>281</v>
      </c>
      <c r="H58" s="2">
        <v>2024</v>
      </c>
      <c r="I58" s="2">
        <v>1.54732515615369</v>
      </c>
      <c r="J58" s="2"/>
      <c r="K58" s="2"/>
      <c r="L58" s="2"/>
      <c r="M58" s="2"/>
      <c r="N58" s="2"/>
      <c r="O58" s="2"/>
      <c r="P58" s="2"/>
      <c r="Q58" s="2"/>
      <c r="R58" s="2"/>
      <c r="S58" s="16"/>
    </row>
    <row r="59" spans="1:19" hidden="1" x14ac:dyDescent="0.35">
      <c r="A59" s="15" t="s">
        <v>282</v>
      </c>
      <c r="B59" s="2" t="s">
        <v>8</v>
      </c>
      <c r="C59" s="2" t="s">
        <v>16</v>
      </c>
      <c r="D59" s="2" t="s">
        <v>283</v>
      </c>
      <c r="E59" s="2">
        <v>30.098199999999999</v>
      </c>
      <c r="F59" s="2">
        <v>31.246099999999998</v>
      </c>
      <c r="G59" s="2" t="s">
        <v>286</v>
      </c>
      <c r="H59" s="2">
        <v>2024</v>
      </c>
      <c r="I59" s="2">
        <v>28.270589932208299</v>
      </c>
      <c r="J59" s="2"/>
      <c r="K59" s="2"/>
      <c r="L59" s="2"/>
      <c r="M59" s="2"/>
      <c r="N59" s="2"/>
      <c r="O59" s="2"/>
      <c r="P59" s="2"/>
      <c r="Q59" s="2"/>
      <c r="R59" s="2"/>
      <c r="S59" s="16"/>
    </row>
    <row r="60" spans="1:19" hidden="1" x14ac:dyDescent="0.35">
      <c r="A60" s="15" t="s">
        <v>287</v>
      </c>
      <c r="B60" s="2" t="s">
        <v>15</v>
      </c>
      <c r="C60" s="2" t="s">
        <v>9</v>
      </c>
      <c r="D60" s="2" t="s">
        <v>288</v>
      </c>
      <c r="E60" s="2">
        <v>15.3315</v>
      </c>
      <c r="F60" s="2">
        <v>38.918300000000002</v>
      </c>
      <c r="G60" s="2"/>
      <c r="H60" s="2"/>
      <c r="I60" s="2"/>
      <c r="J60" s="2"/>
      <c r="K60" s="2"/>
      <c r="L60" s="2"/>
      <c r="M60" s="2"/>
      <c r="N60" s="2"/>
      <c r="O60" s="2"/>
      <c r="P60" s="2"/>
      <c r="Q60" s="2"/>
      <c r="R60" s="2"/>
      <c r="S60" s="16"/>
    </row>
    <row r="61" spans="1:19" x14ac:dyDescent="0.35">
      <c r="A61" s="15" t="s">
        <v>291</v>
      </c>
      <c r="B61" s="2" t="s">
        <v>22</v>
      </c>
      <c r="C61" s="2" t="s">
        <v>3</v>
      </c>
      <c r="D61" s="2" t="s">
        <v>292</v>
      </c>
      <c r="E61" s="2">
        <v>40.416699999999999</v>
      </c>
      <c r="F61" s="2">
        <v>-3.7032699999999998</v>
      </c>
      <c r="G61" s="2" t="s">
        <v>295</v>
      </c>
      <c r="H61" s="2">
        <v>2024</v>
      </c>
      <c r="I61" s="2">
        <v>2.7471478866179999</v>
      </c>
      <c r="J61" s="2">
        <v>60.8</v>
      </c>
      <c r="K61" s="2">
        <v>22.4</v>
      </c>
      <c r="L61" s="2">
        <v>56.8</v>
      </c>
      <c r="M61" s="2">
        <v>58.9</v>
      </c>
      <c r="N61" s="2">
        <v>82.1</v>
      </c>
      <c r="O61" s="2">
        <v>2.58</v>
      </c>
      <c r="P61" s="2">
        <v>4.08</v>
      </c>
      <c r="Q61" s="2">
        <v>92.6</v>
      </c>
      <c r="R61" s="2">
        <v>480</v>
      </c>
      <c r="S61" s="16">
        <v>95</v>
      </c>
    </row>
    <row r="62" spans="1:19" hidden="1" x14ac:dyDescent="0.35">
      <c r="A62" s="15" t="s">
        <v>296</v>
      </c>
      <c r="B62" s="2" t="s">
        <v>22</v>
      </c>
      <c r="C62" s="2" t="s">
        <v>3</v>
      </c>
      <c r="D62" s="2" t="s">
        <v>297</v>
      </c>
      <c r="E62" s="2">
        <v>59.4392</v>
      </c>
      <c r="F62" s="2">
        <v>24.758600000000001</v>
      </c>
      <c r="G62" s="2" t="s">
        <v>300</v>
      </c>
      <c r="H62" s="2">
        <v>2024</v>
      </c>
      <c r="I62" s="2">
        <v>3.5194118998391999</v>
      </c>
      <c r="J62" s="2"/>
      <c r="K62" s="2"/>
      <c r="L62" s="2"/>
      <c r="M62" s="2"/>
      <c r="N62" s="2"/>
      <c r="O62" s="2"/>
      <c r="P62" s="2"/>
      <c r="Q62" s="2"/>
      <c r="R62" s="2"/>
      <c r="S62" s="16"/>
    </row>
    <row r="63" spans="1:19" hidden="1" x14ac:dyDescent="0.35">
      <c r="A63" s="15" t="s">
        <v>301</v>
      </c>
      <c r="B63" s="2" t="s">
        <v>15</v>
      </c>
      <c r="C63" s="2" t="s">
        <v>9</v>
      </c>
      <c r="D63" s="2" t="s">
        <v>302</v>
      </c>
      <c r="E63" s="2">
        <v>9.0227400000000006</v>
      </c>
      <c r="F63" s="2">
        <v>38.7468</v>
      </c>
      <c r="G63" s="2" t="s">
        <v>305</v>
      </c>
      <c r="H63" s="2">
        <v>2024</v>
      </c>
      <c r="I63" s="2">
        <v>21.037746057771098</v>
      </c>
      <c r="J63" s="2"/>
      <c r="K63" s="2"/>
      <c r="L63" s="2"/>
      <c r="M63" s="2"/>
      <c r="N63" s="2"/>
      <c r="O63" s="2"/>
      <c r="P63" s="2"/>
      <c r="Q63" s="2"/>
      <c r="R63" s="2"/>
      <c r="S63" s="16"/>
    </row>
    <row r="64" spans="1:19" hidden="1" x14ac:dyDescent="0.35">
      <c r="A64" s="15" t="s">
        <v>306</v>
      </c>
      <c r="B64" s="2" t="s">
        <v>22</v>
      </c>
      <c r="C64" s="2" t="s">
        <v>3</v>
      </c>
      <c r="D64" s="2" t="s">
        <v>307</v>
      </c>
      <c r="E64" s="2">
        <v>60.160800000000002</v>
      </c>
      <c r="F64" s="2">
        <v>24.952500000000001</v>
      </c>
      <c r="G64" s="2" t="s">
        <v>310</v>
      </c>
      <c r="H64" s="2">
        <v>2024</v>
      </c>
      <c r="I64" s="2">
        <v>1.5656890623161599</v>
      </c>
      <c r="J64" s="2"/>
      <c r="K64" s="2"/>
      <c r="L64" s="2"/>
      <c r="M64" s="2"/>
      <c r="N64" s="2"/>
      <c r="O64" s="2"/>
      <c r="P64" s="2">
        <v>5.12</v>
      </c>
      <c r="Q64" s="2">
        <v>118.6</v>
      </c>
      <c r="R64" s="2"/>
      <c r="S64" s="16"/>
    </row>
    <row r="65" spans="1:19" hidden="1" x14ac:dyDescent="0.35">
      <c r="A65" s="15" t="s">
        <v>311</v>
      </c>
      <c r="B65" s="2" t="s">
        <v>48</v>
      </c>
      <c r="C65" s="2" t="s">
        <v>23</v>
      </c>
      <c r="D65" s="2" t="s">
        <v>312</v>
      </c>
      <c r="E65" s="2">
        <v>-18.114899999999999</v>
      </c>
      <c r="F65" s="2">
        <v>178.399</v>
      </c>
      <c r="G65" s="2" t="s">
        <v>315</v>
      </c>
      <c r="H65" s="2">
        <v>2024</v>
      </c>
      <c r="I65" s="2">
        <v>3.8908423788410502</v>
      </c>
      <c r="J65" s="2"/>
      <c r="K65" s="2"/>
      <c r="L65" s="2"/>
      <c r="M65" s="2"/>
      <c r="N65" s="2"/>
      <c r="O65" s="2"/>
      <c r="P65" s="2"/>
      <c r="Q65" s="2"/>
      <c r="R65" s="2"/>
      <c r="S65" s="16"/>
    </row>
    <row r="66" spans="1:19" x14ac:dyDescent="0.35">
      <c r="A66" s="15" t="s">
        <v>316</v>
      </c>
      <c r="B66" s="2" t="s">
        <v>22</v>
      </c>
      <c r="C66" s="2" t="s">
        <v>3</v>
      </c>
      <c r="D66" s="2" t="s">
        <v>317</v>
      </c>
      <c r="E66" s="2">
        <v>48.8566</v>
      </c>
      <c r="F66" s="2">
        <v>2.3509699999999998</v>
      </c>
      <c r="G66" s="2" t="s">
        <v>320</v>
      </c>
      <c r="H66" s="2">
        <v>2024</v>
      </c>
      <c r="I66" s="2">
        <v>1.9990494229146301</v>
      </c>
      <c r="J66" s="2">
        <v>64.8</v>
      </c>
      <c r="K66" s="2">
        <v>27.9</v>
      </c>
      <c r="L66" s="2">
        <v>60.8</v>
      </c>
      <c r="M66" s="2">
        <v>63.5</v>
      </c>
      <c r="N66" s="2">
        <v>89.7</v>
      </c>
      <c r="O66" s="2">
        <v>2.78</v>
      </c>
      <c r="P66" s="2">
        <v>4.62</v>
      </c>
      <c r="Q66" s="2">
        <v>108.4</v>
      </c>
      <c r="R66" s="2">
        <v>738</v>
      </c>
      <c r="S66" s="16">
        <v>155</v>
      </c>
    </row>
    <row r="67" spans="1:19" hidden="1" x14ac:dyDescent="0.35">
      <c r="A67" s="15" t="s">
        <v>321</v>
      </c>
      <c r="B67" s="2" t="s">
        <v>22</v>
      </c>
      <c r="C67" s="2" t="s">
        <v>3</v>
      </c>
      <c r="D67" s="2" t="s">
        <v>322</v>
      </c>
      <c r="E67" s="2">
        <v>61.892600000000002</v>
      </c>
      <c r="F67" s="2">
        <v>-6.91181</v>
      </c>
      <c r="G67" s="2"/>
      <c r="H67" s="2"/>
      <c r="I67" s="2"/>
      <c r="J67" s="2"/>
      <c r="K67" s="2"/>
      <c r="L67" s="2"/>
      <c r="M67" s="2"/>
      <c r="N67" s="2"/>
      <c r="O67" s="2"/>
      <c r="P67" s="2"/>
      <c r="Q67" s="2"/>
      <c r="R67" s="2"/>
      <c r="S67" s="16"/>
    </row>
    <row r="68" spans="1:19" hidden="1" x14ac:dyDescent="0.35">
      <c r="A68" s="15" t="s">
        <v>325</v>
      </c>
      <c r="B68" s="2" t="s">
        <v>48</v>
      </c>
      <c r="C68" s="2" t="s">
        <v>23</v>
      </c>
      <c r="D68" s="2" t="s">
        <v>326</v>
      </c>
      <c r="E68" s="2">
        <v>6.9177099999999996</v>
      </c>
      <c r="F68" s="2">
        <v>158.185</v>
      </c>
      <c r="G68" s="2" t="s">
        <v>329</v>
      </c>
      <c r="H68" s="2">
        <v>2022</v>
      </c>
      <c r="I68" s="2">
        <v>5.4087437547906703</v>
      </c>
      <c r="J68" s="2"/>
      <c r="K68" s="2"/>
      <c r="L68" s="2"/>
      <c r="M68" s="2"/>
      <c r="N68" s="2"/>
      <c r="O68" s="2"/>
      <c r="P68" s="2"/>
      <c r="Q68" s="2"/>
      <c r="R68" s="2"/>
      <c r="S68" s="16"/>
    </row>
    <row r="69" spans="1:19" hidden="1" x14ac:dyDescent="0.35">
      <c r="A69" s="15" t="s">
        <v>330</v>
      </c>
      <c r="B69" s="2" t="s">
        <v>15</v>
      </c>
      <c r="C69" s="2" t="s">
        <v>23</v>
      </c>
      <c r="D69" s="2" t="s">
        <v>331</v>
      </c>
      <c r="E69" s="2">
        <v>0.38832</v>
      </c>
      <c r="F69" s="2">
        <v>9.4516200000000001</v>
      </c>
      <c r="G69" s="2" t="s">
        <v>334</v>
      </c>
      <c r="H69" s="2">
        <v>2024</v>
      </c>
      <c r="I69" s="2">
        <v>1.17311998381218</v>
      </c>
      <c r="J69" s="2"/>
      <c r="K69" s="2"/>
      <c r="L69" s="2"/>
      <c r="M69" s="2"/>
      <c r="N69" s="2"/>
      <c r="O69" s="2"/>
      <c r="P69" s="2"/>
      <c r="Q69" s="2"/>
      <c r="R69" s="2"/>
      <c r="S69" s="16"/>
    </row>
    <row r="70" spans="1:19" x14ac:dyDescent="0.35">
      <c r="A70" s="15" t="s">
        <v>335</v>
      </c>
      <c r="B70" s="2" t="s">
        <v>22</v>
      </c>
      <c r="C70" s="2" t="s">
        <v>3</v>
      </c>
      <c r="D70" s="2" t="s">
        <v>336</v>
      </c>
      <c r="E70" s="2">
        <v>51.5002</v>
      </c>
      <c r="F70" s="2">
        <v>-0.12623599999999999</v>
      </c>
      <c r="G70" s="2" t="s">
        <v>339</v>
      </c>
      <c r="H70" s="2">
        <v>2024</v>
      </c>
      <c r="I70" s="2">
        <v>3.2715729463591998</v>
      </c>
      <c r="J70" s="2">
        <v>67.8</v>
      </c>
      <c r="K70" s="2">
        <v>30.5</v>
      </c>
      <c r="L70" s="2">
        <v>63.2</v>
      </c>
      <c r="M70" s="2">
        <v>66.7</v>
      </c>
      <c r="N70" s="2">
        <v>90.2</v>
      </c>
      <c r="O70" s="2">
        <v>3.12</v>
      </c>
      <c r="P70" s="2">
        <v>4.4800000000000004</v>
      </c>
      <c r="Q70" s="2">
        <v>105.2</v>
      </c>
      <c r="R70" s="2">
        <v>1235</v>
      </c>
      <c r="S70" s="16">
        <v>160</v>
      </c>
    </row>
    <row r="71" spans="1:19" hidden="1" x14ac:dyDescent="0.35">
      <c r="A71" s="15" t="s">
        <v>340</v>
      </c>
      <c r="B71" s="2" t="s">
        <v>22</v>
      </c>
      <c r="C71" s="2" t="s">
        <v>23</v>
      </c>
      <c r="D71" s="2" t="s">
        <v>341</v>
      </c>
      <c r="E71" s="2">
        <v>41.71</v>
      </c>
      <c r="F71" s="2">
        <v>44.792999999999999</v>
      </c>
      <c r="G71" s="2" t="s">
        <v>344</v>
      </c>
      <c r="H71" s="2">
        <v>2024</v>
      </c>
      <c r="I71" s="2">
        <v>1.10971758022096</v>
      </c>
      <c r="J71" s="2"/>
      <c r="K71" s="2"/>
      <c r="L71" s="2"/>
      <c r="M71" s="2"/>
      <c r="N71" s="2"/>
      <c r="O71" s="2"/>
      <c r="P71" s="2"/>
      <c r="Q71" s="2"/>
      <c r="R71" s="2"/>
      <c r="S71" s="16"/>
    </row>
    <row r="72" spans="1:19" hidden="1" x14ac:dyDescent="0.35">
      <c r="A72" s="15" t="s">
        <v>345</v>
      </c>
      <c r="B72" s="2" t="s">
        <v>15</v>
      </c>
      <c r="C72" s="2" t="s">
        <v>16</v>
      </c>
      <c r="D72" s="2" t="s">
        <v>346</v>
      </c>
      <c r="E72" s="2">
        <v>5.5704500000000001</v>
      </c>
      <c r="F72" s="2">
        <v>-0.20795</v>
      </c>
      <c r="G72" s="2" t="s">
        <v>349</v>
      </c>
      <c r="H72" s="2">
        <v>2024</v>
      </c>
      <c r="I72" s="2">
        <v>22.848328115784199</v>
      </c>
      <c r="J72" s="2"/>
      <c r="K72" s="2"/>
      <c r="L72" s="2"/>
      <c r="M72" s="2"/>
      <c r="N72" s="2"/>
      <c r="O72" s="2"/>
      <c r="P72" s="2"/>
      <c r="Q72" s="2"/>
      <c r="R72" s="2"/>
      <c r="S72" s="16"/>
    </row>
    <row r="73" spans="1:19" hidden="1" x14ac:dyDescent="0.35">
      <c r="A73" s="15" t="s">
        <v>350</v>
      </c>
      <c r="B73" s="2" t="s">
        <v>22</v>
      </c>
      <c r="C73" s="2" t="s">
        <v>3</v>
      </c>
      <c r="D73" s="2"/>
      <c r="E73" s="2"/>
      <c r="F73" s="2"/>
      <c r="G73" s="2"/>
      <c r="H73" s="2"/>
      <c r="I73" s="2"/>
      <c r="J73" s="2"/>
      <c r="K73" s="2"/>
      <c r="L73" s="2"/>
      <c r="M73" s="2"/>
      <c r="N73" s="2"/>
      <c r="O73" s="2"/>
      <c r="P73" s="2"/>
      <c r="Q73" s="2"/>
      <c r="R73" s="2"/>
      <c r="S73" s="16"/>
    </row>
    <row r="74" spans="1:19" hidden="1" x14ac:dyDescent="0.35">
      <c r="A74" s="15" t="s">
        <v>351</v>
      </c>
      <c r="B74" s="2" t="s">
        <v>15</v>
      </c>
      <c r="C74" s="2" t="s">
        <v>16</v>
      </c>
      <c r="D74" s="2" t="s">
        <v>352</v>
      </c>
      <c r="E74" s="2">
        <v>9.5166699999999995</v>
      </c>
      <c r="F74" s="2">
        <v>-13.7</v>
      </c>
      <c r="G74" s="2" t="s">
        <v>355</v>
      </c>
      <c r="H74" s="2">
        <v>2024</v>
      </c>
      <c r="I74" s="2">
        <v>8.1231391494859597</v>
      </c>
      <c r="J74" s="2"/>
      <c r="K74" s="2"/>
      <c r="L74" s="2"/>
      <c r="M74" s="2"/>
      <c r="N74" s="2"/>
      <c r="O74" s="2"/>
      <c r="P74" s="2"/>
      <c r="Q74" s="2"/>
      <c r="R74" s="2"/>
      <c r="S74" s="16"/>
    </row>
    <row r="75" spans="1:19" hidden="1" x14ac:dyDescent="0.35">
      <c r="A75" s="15" t="s">
        <v>356</v>
      </c>
      <c r="B75" s="2" t="s">
        <v>15</v>
      </c>
      <c r="C75" s="2" t="s">
        <v>9</v>
      </c>
      <c r="D75" s="2" t="s">
        <v>357</v>
      </c>
      <c r="E75" s="2">
        <v>13.4495</v>
      </c>
      <c r="F75" s="2">
        <v>-16.5885</v>
      </c>
      <c r="G75" s="2" t="s">
        <v>360</v>
      </c>
      <c r="H75" s="2">
        <v>2024</v>
      </c>
      <c r="I75" s="2">
        <v>11.561053289751101</v>
      </c>
      <c r="J75" s="2"/>
      <c r="K75" s="2"/>
      <c r="L75" s="2"/>
      <c r="M75" s="2"/>
      <c r="N75" s="2"/>
      <c r="O75" s="2"/>
      <c r="P75" s="2"/>
      <c r="Q75" s="2"/>
      <c r="R75" s="2"/>
      <c r="S75" s="16"/>
    </row>
    <row r="76" spans="1:19" hidden="1" x14ac:dyDescent="0.35">
      <c r="A76" s="15" t="s">
        <v>361</v>
      </c>
      <c r="B76" s="2" t="s">
        <v>15</v>
      </c>
      <c r="C76" s="2" t="s">
        <v>9</v>
      </c>
      <c r="D76" s="2" t="s">
        <v>362</v>
      </c>
      <c r="E76" s="2">
        <v>11.803699999999999</v>
      </c>
      <c r="F76" s="2">
        <v>-15.180400000000001</v>
      </c>
      <c r="G76" s="2" t="s">
        <v>365</v>
      </c>
      <c r="H76" s="2">
        <v>2024</v>
      </c>
      <c r="I76" s="2">
        <v>3.7655582577011399</v>
      </c>
      <c r="J76" s="2"/>
      <c r="K76" s="2"/>
      <c r="L76" s="2"/>
      <c r="M76" s="2"/>
      <c r="N76" s="2"/>
      <c r="O76" s="2"/>
      <c r="P76" s="2"/>
      <c r="Q76" s="2"/>
      <c r="R76" s="2"/>
      <c r="S76" s="16"/>
    </row>
    <row r="77" spans="1:19" hidden="1" x14ac:dyDescent="0.35">
      <c r="A77" s="15" t="s">
        <v>366</v>
      </c>
      <c r="B77" s="2" t="s">
        <v>15</v>
      </c>
      <c r="C77" s="2" t="s">
        <v>23</v>
      </c>
      <c r="D77" s="2" t="s">
        <v>367</v>
      </c>
      <c r="E77" s="2">
        <v>3.7523</v>
      </c>
      <c r="F77" s="2">
        <v>8.7741000000000007</v>
      </c>
      <c r="G77" s="2" t="s">
        <v>370</v>
      </c>
      <c r="H77" s="2">
        <v>2024</v>
      </c>
      <c r="I77" s="2">
        <v>2.9214022730910298</v>
      </c>
      <c r="J77" s="2"/>
      <c r="K77" s="2"/>
      <c r="L77" s="2"/>
      <c r="M77" s="2"/>
      <c r="N77" s="2"/>
      <c r="O77" s="2"/>
      <c r="P77" s="2"/>
      <c r="Q77" s="2"/>
      <c r="R77" s="2"/>
      <c r="S77" s="16"/>
    </row>
    <row r="78" spans="1:19" x14ac:dyDescent="0.35">
      <c r="A78" s="15" t="s">
        <v>371</v>
      </c>
      <c r="B78" s="2" t="s">
        <v>22</v>
      </c>
      <c r="C78" s="2" t="s">
        <v>3</v>
      </c>
      <c r="D78" s="2" t="s">
        <v>372</v>
      </c>
      <c r="E78" s="2">
        <v>37.979199999999999</v>
      </c>
      <c r="F78" s="2">
        <v>23.7166</v>
      </c>
      <c r="G78" s="2" t="s">
        <v>375</v>
      </c>
      <c r="H78" s="2">
        <v>2024</v>
      </c>
      <c r="I78" s="2">
        <v>2.7410187567948601</v>
      </c>
      <c r="J78" s="2">
        <v>57.1</v>
      </c>
      <c r="K78" s="2">
        <v>19.2</v>
      </c>
      <c r="L78" s="2">
        <v>53.8</v>
      </c>
      <c r="M78" s="2">
        <v>55.1</v>
      </c>
      <c r="N78" s="2">
        <v>76.400000000000006</v>
      </c>
      <c r="O78" s="2">
        <v>2.38</v>
      </c>
      <c r="P78" s="2">
        <v>3.62</v>
      </c>
      <c r="Q78" s="2">
        <v>78.2</v>
      </c>
      <c r="R78" s="2">
        <v>380</v>
      </c>
      <c r="S78" s="16">
        <v>75</v>
      </c>
    </row>
    <row r="79" spans="1:19" hidden="1" x14ac:dyDescent="0.35">
      <c r="A79" s="15" t="s">
        <v>376</v>
      </c>
      <c r="B79" s="2" t="s">
        <v>2</v>
      </c>
      <c r="C79" s="2" t="s">
        <v>23</v>
      </c>
      <c r="D79" s="2" t="s">
        <v>377</v>
      </c>
      <c r="E79" s="2">
        <v>12.065300000000001</v>
      </c>
      <c r="F79" s="2">
        <v>-61.744900000000001</v>
      </c>
      <c r="G79" s="2" t="s">
        <v>380</v>
      </c>
      <c r="H79" s="2">
        <v>2024</v>
      </c>
      <c r="I79" s="2">
        <v>1.08615365134737</v>
      </c>
      <c r="J79" s="2"/>
      <c r="K79" s="2"/>
      <c r="L79" s="2"/>
      <c r="M79" s="2"/>
      <c r="N79" s="2"/>
      <c r="O79" s="2"/>
      <c r="P79" s="2"/>
      <c r="Q79" s="2"/>
      <c r="R79" s="2"/>
      <c r="S79" s="16"/>
    </row>
    <row r="80" spans="1:19" hidden="1" x14ac:dyDescent="0.35">
      <c r="A80" s="15" t="s">
        <v>381</v>
      </c>
      <c r="B80" s="2" t="s">
        <v>22</v>
      </c>
      <c r="C80" s="2" t="s">
        <v>3</v>
      </c>
      <c r="D80" s="2" t="s">
        <v>382</v>
      </c>
      <c r="E80" s="2">
        <v>64.183599999999998</v>
      </c>
      <c r="F80" s="2">
        <v>-51.721400000000003</v>
      </c>
      <c r="G80" s="2"/>
      <c r="H80" s="2"/>
      <c r="I80" s="2"/>
      <c r="J80" s="2"/>
      <c r="K80" s="2"/>
      <c r="L80" s="2"/>
      <c r="M80" s="2"/>
      <c r="N80" s="2"/>
      <c r="O80" s="2"/>
      <c r="P80" s="2"/>
      <c r="Q80" s="2"/>
      <c r="R80" s="2"/>
      <c r="S80" s="16"/>
    </row>
    <row r="81" spans="1:19" hidden="1" x14ac:dyDescent="0.35">
      <c r="A81" s="15" t="s">
        <v>385</v>
      </c>
      <c r="B81" s="2" t="s">
        <v>2</v>
      </c>
      <c r="C81" s="2" t="s">
        <v>23</v>
      </c>
      <c r="D81" s="2" t="s">
        <v>386</v>
      </c>
      <c r="E81" s="2">
        <v>14.6248</v>
      </c>
      <c r="F81" s="2">
        <v>-90.532799999999995</v>
      </c>
      <c r="G81" s="2" t="s">
        <v>389</v>
      </c>
      <c r="H81" s="2">
        <v>2024</v>
      </c>
      <c r="I81" s="2">
        <v>2.8699275291829398</v>
      </c>
      <c r="J81" s="2"/>
      <c r="K81" s="2"/>
      <c r="L81" s="2"/>
      <c r="M81" s="2"/>
      <c r="N81" s="2"/>
      <c r="O81" s="2"/>
      <c r="P81" s="2"/>
      <c r="Q81" s="2"/>
      <c r="R81" s="2"/>
      <c r="S81" s="16"/>
    </row>
    <row r="82" spans="1:19" hidden="1" x14ac:dyDescent="0.35">
      <c r="A82" s="15" t="s">
        <v>390</v>
      </c>
      <c r="B82" s="2" t="s">
        <v>48</v>
      </c>
      <c r="C82" s="2" t="s">
        <v>3</v>
      </c>
      <c r="D82" s="2" t="s">
        <v>391</v>
      </c>
      <c r="E82" s="2">
        <v>13.4443</v>
      </c>
      <c r="F82" s="2">
        <v>144.79400000000001</v>
      </c>
      <c r="G82" s="2"/>
      <c r="H82" s="2"/>
      <c r="I82" s="2"/>
      <c r="J82" s="2"/>
      <c r="K82" s="2"/>
      <c r="L82" s="2"/>
      <c r="M82" s="2"/>
      <c r="N82" s="2"/>
      <c r="O82" s="2"/>
      <c r="P82" s="2"/>
      <c r="Q82" s="2"/>
      <c r="R82" s="2"/>
      <c r="S82" s="16"/>
    </row>
    <row r="83" spans="1:19" hidden="1" x14ac:dyDescent="0.35">
      <c r="A83" s="15" t="s">
        <v>394</v>
      </c>
      <c r="B83" s="2" t="s">
        <v>2</v>
      </c>
      <c r="C83" s="2" t="s">
        <v>3</v>
      </c>
      <c r="D83" s="2" t="s">
        <v>395</v>
      </c>
      <c r="E83" s="2">
        <v>6.8046100000000003</v>
      </c>
      <c r="F83" s="2">
        <v>-58.154800000000002</v>
      </c>
      <c r="G83" s="2" t="s">
        <v>398</v>
      </c>
      <c r="H83" s="2">
        <v>2024</v>
      </c>
      <c r="I83" s="2">
        <v>2.90379501424778</v>
      </c>
      <c r="J83" s="2"/>
      <c r="K83" s="2"/>
      <c r="L83" s="2"/>
      <c r="M83" s="2"/>
      <c r="N83" s="2"/>
      <c r="O83" s="2"/>
      <c r="P83" s="2"/>
      <c r="Q83" s="2"/>
      <c r="R83" s="2"/>
      <c r="S83" s="16"/>
    </row>
    <row r="84" spans="1:19" hidden="1" x14ac:dyDescent="0.35">
      <c r="A84" s="15" t="s">
        <v>399</v>
      </c>
      <c r="B84" s="2" t="s">
        <v>48</v>
      </c>
      <c r="C84" s="2" t="s">
        <v>3</v>
      </c>
      <c r="D84" s="2"/>
      <c r="E84" s="2">
        <v>22.3964</v>
      </c>
      <c r="F84" s="2">
        <v>114.10899999999999</v>
      </c>
      <c r="G84" s="2" t="s">
        <v>402</v>
      </c>
      <c r="H84" s="2">
        <v>2024</v>
      </c>
      <c r="I84" s="2">
        <v>1.7297211910591399</v>
      </c>
      <c r="J84" s="2"/>
      <c r="K84" s="2"/>
      <c r="L84" s="2"/>
      <c r="M84" s="2"/>
      <c r="N84" s="2"/>
      <c r="O84" s="2"/>
      <c r="P84" s="2"/>
      <c r="Q84" s="2"/>
      <c r="R84" s="2"/>
      <c r="S84" s="16"/>
    </row>
    <row r="85" spans="1:19" hidden="1" x14ac:dyDescent="0.35">
      <c r="A85" s="15" t="s">
        <v>403</v>
      </c>
      <c r="B85" s="2" t="s">
        <v>2</v>
      </c>
      <c r="C85" s="2" t="s">
        <v>16</v>
      </c>
      <c r="D85" s="2" t="s">
        <v>404</v>
      </c>
      <c r="E85" s="2">
        <v>15.1333</v>
      </c>
      <c r="F85" s="2">
        <v>-87.466700000000003</v>
      </c>
      <c r="G85" s="2" t="s">
        <v>407</v>
      </c>
      <c r="H85" s="2">
        <v>2024</v>
      </c>
      <c r="I85" s="2">
        <v>4.6062109812710101</v>
      </c>
      <c r="J85" s="2"/>
      <c r="K85" s="2"/>
      <c r="L85" s="2"/>
      <c r="M85" s="2"/>
      <c r="N85" s="2"/>
      <c r="O85" s="2"/>
      <c r="P85" s="2"/>
      <c r="Q85" s="2"/>
      <c r="R85" s="2"/>
      <c r="S85" s="16"/>
    </row>
    <row r="86" spans="1:19" hidden="1" x14ac:dyDescent="0.35">
      <c r="A86" s="15" t="s">
        <v>408</v>
      </c>
      <c r="B86" s="2" t="s">
        <v>22</v>
      </c>
      <c r="C86" s="2" t="s">
        <v>3</v>
      </c>
      <c r="D86" s="2" t="s">
        <v>409</v>
      </c>
      <c r="E86" s="2">
        <v>45.806899999999999</v>
      </c>
      <c r="F86" s="2">
        <v>15.961399999999999</v>
      </c>
      <c r="G86" s="2" t="s">
        <v>412</v>
      </c>
      <c r="H86" s="2">
        <v>2024</v>
      </c>
      <c r="I86" s="2">
        <v>2.9720047764362598</v>
      </c>
      <c r="J86" s="2"/>
      <c r="K86" s="2"/>
      <c r="L86" s="2"/>
      <c r="M86" s="2"/>
      <c r="N86" s="2"/>
      <c r="O86" s="2"/>
      <c r="P86" s="2"/>
      <c r="Q86" s="2"/>
      <c r="R86" s="2"/>
      <c r="S86" s="16"/>
    </row>
    <row r="87" spans="1:19" hidden="1" x14ac:dyDescent="0.35">
      <c r="A87" s="15" t="s">
        <v>413</v>
      </c>
      <c r="B87" s="2" t="s">
        <v>2</v>
      </c>
      <c r="C87" s="2" t="s">
        <v>16</v>
      </c>
      <c r="D87" s="2" t="s">
        <v>414</v>
      </c>
      <c r="E87" s="2">
        <v>18.539200000000001</v>
      </c>
      <c r="F87" s="2">
        <v>-72.328800000000001</v>
      </c>
      <c r="G87" s="2" t="s">
        <v>417</v>
      </c>
      <c r="H87" s="2">
        <v>2024</v>
      </c>
      <c r="I87" s="2">
        <v>26.9490564091987</v>
      </c>
      <c r="J87" s="2"/>
      <c r="K87" s="2"/>
      <c r="L87" s="2"/>
      <c r="M87" s="2"/>
      <c r="N87" s="2"/>
      <c r="O87" s="2"/>
      <c r="P87" s="2"/>
      <c r="Q87" s="2"/>
      <c r="R87" s="2"/>
      <c r="S87" s="16"/>
    </row>
    <row r="88" spans="1:19" hidden="1" x14ac:dyDescent="0.35">
      <c r="A88" s="15" t="s">
        <v>418</v>
      </c>
      <c r="B88" s="2" t="s">
        <v>22</v>
      </c>
      <c r="C88" s="2" t="s">
        <v>3</v>
      </c>
      <c r="D88" s="2" t="s">
        <v>419</v>
      </c>
      <c r="E88" s="2">
        <v>47.498399999999997</v>
      </c>
      <c r="F88" s="2">
        <v>19.040800000000001</v>
      </c>
      <c r="G88" s="2" t="s">
        <v>422</v>
      </c>
      <c r="H88" s="2">
        <v>2024</v>
      </c>
      <c r="I88" s="2">
        <v>3.70370370370369</v>
      </c>
      <c r="J88" s="2"/>
      <c r="K88" s="2"/>
      <c r="L88" s="2"/>
      <c r="M88" s="2"/>
      <c r="N88" s="2"/>
      <c r="O88" s="2"/>
      <c r="P88" s="2"/>
      <c r="Q88" s="2"/>
      <c r="R88" s="2"/>
      <c r="S88" s="16"/>
    </row>
    <row r="89" spans="1:19" x14ac:dyDescent="0.35">
      <c r="A89" s="15" t="s">
        <v>423</v>
      </c>
      <c r="B89" s="2" t="s">
        <v>48</v>
      </c>
      <c r="C89" s="2" t="s">
        <v>23</v>
      </c>
      <c r="D89" s="2" t="s">
        <v>424</v>
      </c>
      <c r="E89" s="2">
        <v>-6.1975199999999999</v>
      </c>
      <c r="F89" s="2">
        <v>106.83</v>
      </c>
      <c r="G89" s="2" t="s">
        <v>427</v>
      </c>
      <c r="H89" s="2">
        <v>2024</v>
      </c>
      <c r="I89" s="2">
        <v>2.1815127361518898</v>
      </c>
      <c r="J89" s="2">
        <v>47.2</v>
      </c>
      <c r="K89" s="2">
        <v>12.8</v>
      </c>
      <c r="L89" s="2">
        <v>45.1</v>
      </c>
      <c r="M89" s="2">
        <v>45.8</v>
      </c>
      <c r="N89" s="2">
        <v>60.8</v>
      </c>
      <c r="O89" s="2">
        <v>1.45</v>
      </c>
      <c r="P89" s="2">
        <v>2.0499999999999998</v>
      </c>
      <c r="Q89" s="2">
        <v>32.4</v>
      </c>
      <c r="R89" s="2">
        <v>305</v>
      </c>
      <c r="S89" s="16">
        <v>55</v>
      </c>
    </row>
    <row r="90" spans="1:19" hidden="1" x14ac:dyDescent="0.35">
      <c r="A90" s="15" t="s">
        <v>428</v>
      </c>
      <c r="B90" s="2" t="s">
        <v>22</v>
      </c>
      <c r="C90" s="2" t="s">
        <v>3</v>
      </c>
      <c r="D90" s="2" t="s">
        <v>429</v>
      </c>
      <c r="E90" s="2">
        <v>54.1509</v>
      </c>
      <c r="F90" s="2">
        <v>-4.4792800000000002</v>
      </c>
      <c r="G90" s="2"/>
      <c r="H90" s="2"/>
      <c r="I90" s="2"/>
      <c r="J90" s="2"/>
      <c r="K90" s="2"/>
      <c r="L90" s="2"/>
      <c r="M90" s="2"/>
      <c r="N90" s="2"/>
      <c r="O90" s="2"/>
      <c r="P90" s="2"/>
      <c r="Q90" s="2"/>
      <c r="R90" s="2"/>
      <c r="S90" s="16"/>
    </row>
    <row r="91" spans="1:19" x14ac:dyDescent="0.35">
      <c r="A91" s="15" t="s">
        <v>432</v>
      </c>
      <c r="B91" s="2" t="s">
        <v>93</v>
      </c>
      <c r="C91" s="2" t="s">
        <v>16</v>
      </c>
      <c r="D91" s="2" t="s">
        <v>433</v>
      </c>
      <c r="E91" s="2">
        <v>28.635300000000001</v>
      </c>
      <c r="F91" s="2">
        <v>77.224999999999994</v>
      </c>
      <c r="G91" s="2" t="s">
        <v>436</v>
      </c>
      <c r="H91" s="2">
        <v>2024</v>
      </c>
      <c r="I91" s="2">
        <v>4.9530355097366101</v>
      </c>
      <c r="J91" s="2">
        <v>48.5</v>
      </c>
      <c r="K91" s="2">
        <v>13.5</v>
      </c>
      <c r="L91" s="2">
        <v>46.2</v>
      </c>
      <c r="M91" s="2">
        <v>47.1</v>
      </c>
      <c r="N91" s="2">
        <v>62.5</v>
      </c>
      <c r="O91" s="2">
        <v>1.52</v>
      </c>
      <c r="P91" s="2">
        <v>2.1800000000000002</v>
      </c>
      <c r="Q91" s="2">
        <v>35.200000000000003</v>
      </c>
      <c r="R91" s="2">
        <v>164</v>
      </c>
      <c r="S91" s="16">
        <v>45</v>
      </c>
    </row>
    <row r="92" spans="1:19" x14ac:dyDescent="0.35">
      <c r="A92" s="15" t="s">
        <v>437</v>
      </c>
      <c r="B92" s="2" t="s">
        <v>22</v>
      </c>
      <c r="C92" s="2" t="s">
        <v>3</v>
      </c>
      <c r="D92" s="2" t="s">
        <v>438</v>
      </c>
      <c r="E92" s="2">
        <v>53.344099999999997</v>
      </c>
      <c r="F92" s="2">
        <v>-6.2674899999999996</v>
      </c>
      <c r="G92" s="2" t="s">
        <v>441</v>
      </c>
      <c r="H92" s="2">
        <v>2024</v>
      </c>
      <c r="I92" s="2">
        <v>2.1134499957731698</v>
      </c>
      <c r="J92" s="2">
        <v>68.900000000000006</v>
      </c>
      <c r="K92" s="2">
        <v>40.200000000000003</v>
      </c>
      <c r="L92" s="2">
        <v>64.7</v>
      </c>
      <c r="M92" s="2">
        <v>70.099999999999994</v>
      </c>
      <c r="N92" s="2">
        <v>92.4</v>
      </c>
      <c r="O92" s="2"/>
      <c r="P92" s="2"/>
      <c r="Q92" s="2"/>
      <c r="R92" s="2"/>
      <c r="S92" s="16"/>
    </row>
    <row r="93" spans="1:19" hidden="1" x14ac:dyDescent="0.35">
      <c r="A93" s="15" t="s">
        <v>442</v>
      </c>
      <c r="B93" s="2" t="s">
        <v>8</v>
      </c>
      <c r="C93" s="2" t="s">
        <v>23</v>
      </c>
      <c r="D93" s="2" t="s">
        <v>443</v>
      </c>
      <c r="E93" s="2">
        <v>35.687800000000003</v>
      </c>
      <c r="F93" s="2">
        <v>51.444699999999997</v>
      </c>
      <c r="G93" s="2" t="s">
        <v>446</v>
      </c>
      <c r="H93" s="2">
        <v>2024</v>
      </c>
      <c r="I93" s="2">
        <v>32.455871402916998</v>
      </c>
      <c r="J93" s="2"/>
      <c r="K93" s="2"/>
      <c r="L93" s="2"/>
      <c r="M93" s="2"/>
      <c r="N93" s="2"/>
      <c r="O93" s="2"/>
      <c r="P93" s="2"/>
      <c r="Q93" s="2"/>
      <c r="R93" s="2"/>
      <c r="S93" s="16"/>
    </row>
    <row r="94" spans="1:19" hidden="1" x14ac:dyDescent="0.35">
      <c r="A94" s="15" t="s">
        <v>447</v>
      </c>
      <c r="B94" s="2" t="s">
        <v>8</v>
      </c>
      <c r="C94" s="2" t="s">
        <v>23</v>
      </c>
      <c r="D94" s="2" t="s">
        <v>448</v>
      </c>
      <c r="E94" s="2">
        <v>33.330199999999998</v>
      </c>
      <c r="F94" s="2">
        <v>44.393999999999998</v>
      </c>
      <c r="G94" s="2" t="s">
        <v>451</v>
      </c>
      <c r="H94" s="2">
        <v>2024</v>
      </c>
      <c r="I94" s="2">
        <v>2.6116961151764002</v>
      </c>
      <c r="J94" s="2"/>
      <c r="K94" s="2"/>
      <c r="L94" s="2"/>
      <c r="M94" s="2"/>
      <c r="N94" s="2"/>
      <c r="O94" s="2"/>
      <c r="P94" s="2"/>
      <c r="Q94" s="2"/>
      <c r="R94" s="2"/>
      <c r="S94" s="16"/>
    </row>
    <row r="95" spans="1:19" x14ac:dyDescent="0.35">
      <c r="A95" s="15" t="s">
        <v>452</v>
      </c>
      <c r="B95" s="2" t="s">
        <v>22</v>
      </c>
      <c r="C95" s="2" t="s">
        <v>3</v>
      </c>
      <c r="D95" s="2" t="s">
        <v>453</v>
      </c>
      <c r="E95" s="2">
        <v>64.135300000000001</v>
      </c>
      <c r="F95" s="2">
        <v>-21.895199999999999</v>
      </c>
      <c r="G95" s="2" t="s">
        <v>456</v>
      </c>
      <c r="H95" s="2">
        <v>2024</v>
      </c>
      <c r="I95" s="2">
        <v>5.8568384997007197</v>
      </c>
      <c r="J95" s="2">
        <v>78.2</v>
      </c>
      <c r="K95" s="2">
        <v>45.6</v>
      </c>
      <c r="L95" s="2">
        <v>72.3</v>
      </c>
      <c r="M95" s="2">
        <v>82.1</v>
      </c>
      <c r="N95" s="2">
        <v>98.7</v>
      </c>
      <c r="O95" s="2">
        <v>4.26</v>
      </c>
      <c r="P95" s="2">
        <v>7.94</v>
      </c>
      <c r="Q95" s="2">
        <v>131.85</v>
      </c>
      <c r="R95" s="2"/>
      <c r="S95" s="16"/>
    </row>
    <row r="96" spans="1:19" hidden="1" x14ac:dyDescent="0.35">
      <c r="A96" s="15" t="s">
        <v>457</v>
      </c>
      <c r="B96" s="2" t="s">
        <v>8</v>
      </c>
      <c r="C96" s="2" t="s">
        <v>3</v>
      </c>
      <c r="D96" s="2"/>
      <c r="E96" s="2">
        <v>31.771699999999999</v>
      </c>
      <c r="F96" s="2">
        <v>35.203499999999998</v>
      </c>
      <c r="G96" s="2" t="s">
        <v>460</v>
      </c>
      <c r="H96" s="2">
        <v>2024</v>
      </c>
      <c r="I96" s="2">
        <v>3.0748088980502501</v>
      </c>
      <c r="J96" s="2"/>
      <c r="K96" s="2"/>
      <c r="L96" s="2"/>
      <c r="M96" s="2"/>
      <c r="N96" s="2"/>
      <c r="O96" s="2"/>
      <c r="P96" s="2"/>
      <c r="Q96" s="2"/>
      <c r="R96" s="2"/>
      <c r="S96" s="16"/>
    </row>
    <row r="97" spans="1:19" x14ac:dyDescent="0.35">
      <c r="A97" s="15" t="s">
        <v>461</v>
      </c>
      <c r="B97" s="2" t="s">
        <v>22</v>
      </c>
      <c r="C97" s="2" t="s">
        <v>3</v>
      </c>
      <c r="D97" s="2" t="s">
        <v>462</v>
      </c>
      <c r="E97" s="2">
        <v>41.895499999999998</v>
      </c>
      <c r="F97" s="2">
        <v>12.4823</v>
      </c>
      <c r="G97" s="2" t="s">
        <v>465</v>
      </c>
      <c r="H97" s="2">
        <v>2024</v>
      </c>
      <c r="I97" s="2">
        <v>0.98237302306141705</v>
      </c>
      <c r="J97" s="2">
        <v>62.5</v>
      </c>
      <c r="K97" s="2">
        <v>23.7</v>
      </c>
      <c r="L97" s="2">
        <v>58.2</v>
      </c>
      <c r="M97" s="2">
        <v>60.5</v>
      </c>
      <c r="N97" s="2">
        <v>83.6</v>
      </c>
      <c r="O97" s="2">
        <v>2.65</v>
      </c>
      <c r="P97" s="2">
        <v>4.25</v>
      </c>
      <c r="Q97" s="2">
        <v>98.5</v>
      </c>
      <c r="R97" s="2">
        <v>550</v>
      </c>
      <c r="S97" s="16">
        <v>110</v>
      </c>
    </row>
    <row r="98" spans="1:19" hidden="1" x14ac:dyDescent="0.35">
      <c r="A98" s="15" t="s">
        <v>466</v>
      </c>
      <c r="B98" s="2" t="s">
        <v>2</v>
      </c>
      <c r="C98" s="2" t="s">
        <v>23</v>
      </c>
      <c r="D98" s="2" t="s">
        <v>467</v>
      </c>
      <c r="E98" s="2">
        <v>17.992699999999999</v>
      </c>
      <c r="F98" s="2">
        <v>-76.792000000000002</v>
      </c>
      <c r="G98" s="2" t="s">
        <v>470</v>
      </c>
      <c r="H98" s="2">
        <v>2024</v>
      </c>
      <c r="I98" s="2">
        <v>5.4119444798165901</v>
      </c>
      <c r="J98" s="2"/>
      <c r="K98" s="2"/>
      <c r="L98" s="2"/>
      <c r="M98" s="2"/>
      <c r="N98" s="2"/>
      <c r="O98" s="2"/>
      <c r="P98" s="2"/>
      <c r="Q98" s="2"/>
      <c r="R98" s="2"/>
      <c r="S98" s="16"/>
    </row>
    <row r="99" spans="1:19" hidden="1" x14ac:dyDescent="0.35">
      <c r="A99" s="15" t="s">
        <v>471</v>
      </c>
      <c r="B99" s="2" t="s">
        <v>8</v>
      </c>
      <c r="C99" s="2" t="s">
        <v>23</v>
      </c>
      <c r="D99" s="2" t="s">
        <v>472</v>
      </c>
      <c r="E99" s="2">
        <v>31.9497</v>
      </c>
      <c r="F99" s="2">
        <v>35.926299999999998</v>
      </c>
      <c r="G99" s="2" t="s">
        <v>475</v>
      </c>
      <c r="H99" s="2">
        <v>2024</v>
      </c>
      <c r="I99" s="2">
        <v>1.55659611283953</v>
      </c>
      <c r="J99" s="2"/>
      <c r="K99" s="2"/>
      <c r="L99" s="2"/>
      <c r="M99" s="2"/>
      <c r="N99" s="2"/>
      <c r="O99" s="2"/>
      <c r="P99" s="2"/>
      <c r="Q99" s="2"/>
      <c r="R99" s="2"/>
      <c r="S99" s="16"/>
    </row>
    <row r="100" spans="1:19" x14ac:dyDescent="0.35">
      <c r="A100" s="15" t="s">
        <v>476</v>
      </c>
      <c r="B100" s="2" t="s">
        <v>48</v>
      </c>
      <c r="C100" s="2" t="s">
        <v>3</v>
      </c>
      <c r="D100" s="2" t="s">
        <v>477</v>
      </c>
      <c r="E100" s="2">
        <v>35.67</v>
      </c>
      <c r="F100" s="2">
        <v>139.77000000000001</v>
      </c>
      <c r="G100" s="2" t="s">
        <v>480</v>
      </c>
      <c r="H100" s="2">
        <v>2024</v>
      </c>
      <c r="I100" s="2">
        <v>2.73853681635241</v>
      </c>
      <c r="J100" s="2">
        <v>63.2</v>
      </c>
      <c r="K100" s="2">
        <v>24.8</v>
      </c>
      <c r="L100" s="2">
        <v>58.9</v>
      </c>
      <c r="M100" s="2">
        <v>61.2</v>
      </c>
      <c r="N100" s="2">
        <v>85.4</v>
      </c>
      <c r="O100" s="2">
        <v>2.85</v>
      </c>
      <c r="P100" s="2"/>
      <c r="Q100" s="2"/>
      <c r="R100" s="2">
        <v>750</v>
      </c>
      <c r="S100" s="16">
        <v>130</v>
      </c>
    </row>
    <row r="101" spans="1:19" hidden="1" x14ac:dyDescent="0.35">
      <c r="A101" s="15" t="s">
        <v>481</v>
      </c>
      <c r="B101" s="2" t="s">
        <v>22</v>
      </c>
      <c r="C101" s="2" t="s">
        <v>23</v>
      </c>
      <c r="D101" s="2" t="s">
        <v>482</v>
      </c>
      <c r="E101" s="2">
        <v>51.187899999999999</v>
      </c>
      <c r="F101" s="2">
        <v>71.438199999999995</v>
      </c>
      <c r="G101" s="2" t="s">
        <v>485</v>
      </c>
      <c r="H101" s="2">
        <v>2024</v>
      </c>
      <c r="I101" s="2">
        <v>8.69082156104494</v>
      </c>
      <c r="J101" s="2"/>
      <c r="K101" s="2"/>
      <c r="L101" s="2"/>
      <c r="M101" s="2"/>
      <c r="N101" s="2"/>
      <c r="O101" s="2">
        <v>0.44</v>
      </c>
      <c r="P101" s="2"/>
      <c r="Q101" s="2"/>
      <c r="R101" s="2"/>
      <c r="S101" s="16"/>
    </row>
    <row r="102" spans="1:19" hidden="1" x14ac:dyDescent="0.35">
      <c r="A102" s="15" t="s">
        <v>486</v>
      </c>
      <c r="B102" s="2" t="s">
        <v>15</v>
      </c>
      <c r="C102" s="2" t="s">
        <v>16</v>
      </c>
      <c r="D102" s="2" t="s">
        <v>487</v>
      </c>
      <c r="E102" s="2">
        <v>-1.2797499999999999</v>
      </c>
      <c r="F102" s="2">
        <v>36.812600000000003</v>
      </c>
      <c r="G102" s="2" t="s">
        <v>490</v>
      </c>
      <c r="H102" s="2">
        <v>2024</v>
      </c>
      <c r="I102" s="2">
        <v>4.4897885424344803</v>
      </c>
      <c r="J102" s="2"/>
      <c r="K102" s="2"/>
      <c r="L102" s="2"/>
      <c r="M102" s="2"/>
      <c r="N102" s="2"/>
      <c r="O102" s="2"/>
      <c r="P102" s="2"/>
      <c r="Q102" s="2"/>
      <c r="R102" s="2"/>
      <c r="S102" s="16"/>
    </row>
    <row r="103" spans="1:19" hidden="1" x14ac:dyDescent="0.35">
      <c r="A103" s="15" t="s">
        <v>491</v>
      </c>
      <c r="B103" s="2" t="s">
        <v>22</v>
      </c>
      <c r="C103" s="2" t="s">
        <v>16</v>
      </c>
      <c r="D103" s="2" t="s">
        <v>492</v>
      </c>
      <c r="E103" s="2">
        <v>42.885100000000001</v>
      </c>
      <c r="F103" s="2">
        <v>74.605699999999999</v>
      </c>
      <c r="G103" s="2" t="s">
        <v>495</v>
      </c>
      <c r="H103" s="2">
        <v>2024</v>
      </c>
      <c r="I103" s="2">
        <v>4.9976070120732299</v>
      </c>
      <c r="J103" s="2"/>
      <c r="K103" s="2"/>
      <c r="L103" s="2"/>
      <c r="M103" s="2"/>
      <c r="N103" s="2"/>
      <c r="O103" s="2"/>
      <c r="P103" s="2"/>
      <c r="Q103" s="2"/>
      <c r="R103" s="2"/>
      <c r="S103" s="16"/>
    </row>
    <row r="104" spans="1:19" x14ac:dyDescent="0.35">
      <c r="A104" s="15" t="s">
        <v>496</v>
      </c>
      <c r="B104" s="2" t="s">
        <v>48</v>
      </c>
      <c r="C104" s="2" t="s">
        <v>16</v>
      </c>
      <c r="D104" s="2" t="s">
        <v>497</v>
      </c>
      <c r="E104" s="2">
        <v>11.5556</v>
      </c>
      <c r="F104" s="2">
        <v>104.874</v>
      </c>
      <c r="G104" s="2" t="s">
        <v>500</v>
      </c>
      <c r="H104" s="2">
        <v>2024</v>
      </c>
      <c r="I104" s="2">
        <v>0.80804201653665397</v>
      </c>
      <c r="J104" s="2">
        <v>50.2</v>
      </c>
      <c r="K104" s="2">
        <v>14.5</v>
      </c>
      <c r="L104" s="2">
        <v>48.2</v>
      </c>
      <c r="M104" s="2">
        <v>48.5</v>
      </c>
      <c r="N104" s="2">
        <v>65.2</v>
      </c>
      <c r="O104" s="2"/>
      <c r="P104" s="2"/>
      <c r="Q104" s="2"/>
      <c r="R104" s="2">
        <v>160</v>
      </c>
      <c r="S104" s="16"/>
    </row>
    <row r="105" spans="1:19" hidden="1" x14ac:dyDescent="0.35">
      <c r="A105" s="15" t="s">
        <v>501</v>
      </c>
      <c r="B105" s="2" t="s">
        <v>48</v>
      </c>
      <c r="C105" s="2" t="s">
        <v>16</v>
      </c>
      <c r="D105" s="2" t="s">
        <v>502</v>
      </c>
      <c r="E105" s="2">
        <v>1.3290500000000001</v>
      </c>
      <c r="F105" s="2">
        <v>172.97900000000001</v>
      </c>
      <c r="G105" s="2" t="s">
        <v>505</v>
      </c>
      <c r="H105" s="2">
        <v>2024</v>
      </c>
      <c r="I105" s="2">
        <v>2.4554507215902799</v>
      </c>
      <c r="J105" s="2"/>
      <c r="K105" s="2"/>
      <c r="L105" s="2"/>
      <c r="M105" s="2"/>
      <c r="N105" s="2"/>
      <c r="O105" s="2"/>
      <c r="P105" s="2"/>
      <c r="Q105" s="2"/>
      <c r="R105" s="2"/>
      <c r="S105" s="16"/>
    </row>
    <row r="106" spans="1:19" hidden="1" x14ac:dyDescent="0.35">
      <c r="A106" s="15" t="s">
        <v>506</v>
      </c>
      <c r="B106" s="2" t="s">
        <v>2</v>
      </c>
      <c r="C106" s="2" t="s">
        <v>3</v>
      </c>
      <c r="D106" s="2" t="s">
        <v>507</v>
      </c>
      <c r="E106" s="2">
        <v>17.3</v>
      </c>
      <c r="F106" s="2">
        <v>-62.730899999999998</v>
      </c>
      <c r="G106" s="2" t="s">
        <v>510</v>
      </c>
      <c r="H106" s="2">
        <v>2023</v>
      </c>
      <c r="I106" s="2">
        <v>3.5571123084824299</v>
      </c>
      <c r="J106" s="2"/>
      <c r="K106" s="2"/>
      <c r="L106" s="2"/>
      <c r="M106" s="2"/>
      <c r="N106" s="2"/>
      <c r="O106" s="2"/>
      <c r="P106" s="2"/>
      <c r="Q106" s="2"/>
      <c r="R106" s="2"/>
      <c r="S106" s="16"/>
    </row>
    <row r="107" spans="1:19" hidden="1" x14ac:dyDescent="0.35">
      <c r="A107" s="15" t="s">
        <v>511</v>
      </c>
      <c r="B107" s="2" t="s">
        <v>48</v>
      </c>
      <c r="C107" s="2" t="s">
        <v>3</v>
      </c>
      <c r="D107" s="2" t="s">
        <v>512</v>
      </c>
      <c r="E107" s="2">
        <v>37.532299999999999</v>
      </c>
      <c r="F107" s="2">
        <v>126.95699999999999</v>
      </c>
      <c r="G107" s="2" t="s">
        <v>515</v>
      </c>
      <c r="H107" s="2">
        <v>2024</v>
      </c>
      <c r="I107" s="2">
        <v>2.3217432864354199</v>
      </c>
      <c r="J107" s="2"/>
      <c r="K107" s="2"/>
      <c r="L107" s="2"/>
      <c r="M107" s="2"/>
      <c r="N107" s="2"/>
      <c r="O107" s="2"/>
      <c r="P107" s="2"/>
      <c r="Q107" s="2"/>
      <c r="R107" s="2"/>
      <c r="S107" s="16"/>
    </row>
    <row r="108" spans="1:19" x14ac:dyDescent="0.35">
      <c r="A108" s="15" t="s">
        <v>516</v>
      </c>
      <c r="B108" s="2" t="s">
        <v>8</v>
      </c>
      <c r="C108" s="2" t="s">
        <v>3</v>
      </c>
      <c r="D108" s="2" t="s">
        <v>517</v>
      </c>
      <c r="E108" s="2">
        <v>29.3721</v>
      </c>
      <c r="F108" s="2">
        <v>47.982399999999998</v>
      </c>
      <c r="G108" s="2" t="s">
        <v>520</v>
      </c>
      <c r="H108" s="2">
        <v>2024</v>
      </c>
      <c r="I108" s="2">
        <v>2.8985507246376199</v>
      </c>
      <c r="J108" s="2">
        <v>67.5</v>
      </c>
      <c r="K108" s="2">
        <v>27.8</v>
      </c>
      <c r="L108" s="2">
        <v>63.8</v>
      </c>
      <c r="M108" s="2">
        <v>65.2</v>
      </c>
      <c r="N108" s="2">
        <v>88.2</v>
      </c>
      <c r="O108" s="2"/>
      <c r="P108" s="2"/>
      <c r="Q108" s="2"/>
      <c r="R108" s="2">
        <v>680</v>
      </c>
      <c r="S108" s="16"/>
    </row>
    <row r="109" spans="1:19" hidden="1" x14ac:dyDescent="0.35">
      <c r="A109" s="15" t="s">
        <v>521</v>
      </c>
      <c r="B109" s="2" t="s">
        <v>48</v>
      </c>
      <c r="C109" s="2" t="s">
        <v>16</v>
      </c>
      <c r="D109" s="2" t="s">
        <v>522</v>
      </c>
      <c r="E109" s="2">
        <v>18.582599999999999</v>
      </c>
      <c r="F109" s="2">
        <v>102.17700000000001</v>
      </c>
      <c r="G109" s="2" t="s">
        <v>525</v>
      </c>
      <c r="H109" s="2">
        <v>2024</v>
      </c>
      <c r="I109" s="2">
        <v>23.130569594258802</v>
      </c>
      <c r="J109" s="2"/>
      <c r="K109" s="2"/>
      <c r="L109" s="2"/>
      <c r="M109" s="2"/>
      <c r="N109" s="2"/>
      <c r="O109" s="2"/>
      <c r="P109" s="2"/>
      <c r="Q109" s="2"/>
      <c r="R109" s="2"/>
      <c r="S109" s="16"/>
    </row>
    <row r="110" spans="1:19" hidden="1" x14ac:dyDescent="0.35">
      <c r="A110" s="15" t="s">
        <v>526</v>
      </c>
      <c r="B110" s="2" t="s">
        <v>8</v>
      </c>
      <c r="C110" s="2" t="s">
        <v>16</v>
      </c>
      <c r="D110" s="2" t="s">
        <v>527</v>
      </c>
      <c r="E110" s="2">
        <v>33.8872</v>
      </c>
      <c r="F110" s="2">
        <v>35.513399999999997</v>
      </c>
      <c r="G110" s="2" t="s">
        <v>530</v>
      </c>
      <c r="H110" s="2">
        <v>2024</v>
      </c>
      <c r="I110" s="2">
        <v>45.243042271671797</v>
      </c>
      <c r="J110" s="2"/>
      <c r="K110" s="2"/>
      <c r="L110" s="2"/>
      <c r="M110" s="2"/>
      <c r="N110" s="2"/>
      <c r="O110" s="2"/>
      <c r="P110" s="2"/>
      <c r="Q110" s="2"/>
      <c r="R110" s="2"/>
      <c r="S110" s="16"/>
    </row>
    <row r="111" spans="1:19" hidden="1" x14ac:dyDescent="0.35">
      <c r="A111" s="15" t="s">
        <v>531</v>
      </c>
      <c r="B111" s="2" t="s">
        <v>15</v>
      </c>
      <c r="C111" s="2" t="s">
        <v>9</v>
      </c>
      <c r="D111" s="2" t="s">
        <v>532</v>
      </c>
      <c r="E111" s="2">
        <v>6.3003900000000002</v>
      </c>
      <c r="F111" s="2">
        <v>-10.7957</v>
      </c>
      <c r="G111" s="2" t="s">
        <v>535</v>
      </c>
      <c r="H111" s="2">
        <v>2024</v>
      </c>
      <c r="I111" s="2">
        <v>8.2149743911896405</v>
      </c>
      <c r="J111" s="2"/>
      <c r="K111" s="2"/>
      <c r="L111" s="2"/>
      <c r="M111" s="2"/>
      <c r="N111" s="2"/>
      <c r="O111" s="2"/>
      <c r="P111" s="2"/>
      <c r="Q111" s="2"/>
      <c r="R111" s="2"/>
      <c r="S111" s="16"/>
    </row>
    <row r="112" spans="1:19" hidden="1" x14ac:dyDescent="0.35">
      <c r="A112" s="15" t="s">
        <v>536</v>
      </c>
      <c r="B112" s="2" t="s">
        <v>8</v>
      </c>
      <c r="C112" s="2" t="s">
        <v>23</v>
      </c>
      <c r="D112" s="2" t="s">
        <v>537</v>
      </c>
      <c r="E112" s="2">
        <v>32.857799999999997</v>
      </c>
      <c r="F112" s="2">
        <v>13.107200000000001</v>
      </c>
      <c r="G112" s="2" t="s">
        <v>540</v>
      </c>
      <c r="H112" s="2">
        <v>2024</v>
      </c>
      <c r="I112" s="2">
        <v>2.12615766885021</v>
      </c>
      <c r="J112" s="2"/>
      <c r="K112" s="2"/>
      <c r="L112" s="2"/>
      <c r="M112" s="2"/>
      <c r="N112" s="2"/>
      <c r="O112" s="2"/>
      <c r="P112" s="2"/>
      <c r="Q112" s="2"/>
      <c r="R112" s="2"/>
      <c r="S112" s="16"/>
    </row>
    <row r="113" spans="1:19" hidden="1" x14ac:dyDescent="0.35">
      <c r="A113" s="15" t="s">
        <v>541</v>
      </c>
      <c r="B113" s="2" t="s">
        <v>2</v>
      </c>
      <c r="C113" s="2" t="s">
        <v>23</v>
      </c>
      <c r="D113" s="2" t="s">
        <v>542</v>
      </c>
      <c r="E113" s="2">
        <v>14</v>
      </c>
      <c r="F113" s="2">
        <v>-60.983199999999997</v>
      </c>
      <c r="G113" s="2" t="s">
        <v>545</v>
      </c>
      <c r="H113" s="2">
        <v>2024</v>
      </c>
      <c r="I113" s="2">
        <v>-0.67424085341877904</v>
      </c>
      <c r="J113" s="2"/>
      <c r="K113" s="2"/>
      <c r="L113" s="2"/>
      <c r="M113" s="2"/>
      <c r="N113" s="2"/>
      <c r="O113" s="2"/>
      <c r="P113" s="2"/>
      <c r="Q113" s="2"/>
      <c r="R113" s="2"/>
      <c r="S113" s="16"/>
    </row>
    <row r="114" spans="1:19" hidden="1" x14ac:dyDescent="0.35">
      <c r="A114" s="15" t="s">
        <v>546</v>
      </c>
      <c r="B114" s="2" t="s">
        <v>22</v>
      </c>
      <c r="C114" s="2" t="s">
        <v>3</v>
      </c>
      <c r="D114" s="2" t="s">
        <v>547</v>
      </c>
      <c r="E114" s="2">
        <v>47.141100000000002</v>
      </c>
      <c r="F114" s="2">
        <v>9.5214800000000004</v>
      </c>
      <c r="G114" s="2"/>
      <c r="H114" s="2"/>
      <c r="I114" s="2"/>
      <c r="J114" s="2"/>
      <c r="K114" s="2"/>
      <c r="L114" s="2"/>
      <c r="M114" s="2"/>
      <c r="N114" s="2"/>
      <c r="O114" s="2"/>
      <c r="P114" s="2"/>
      <c r="Q114" s="2"/>
      <c r="R114" s="2"/>
      <c r="S114" s="16"/>
    </row>
    <row r="115" spans="1:19" x14ac:dyDescent="0.35">
      <c r="A115" s="15" t="s">
        <v>550</v>
      </c>
      <c r="B115" s="2" t="s">
        <v>93</v>
      </c>
      <c r="C115" s="2" t="s">
        <v>23</v>
      </c>
      <c r="D115" s="2" t="s">
        <v>551</v>
      </c>
      <c r="E115" s="2">
        <v>6.9214799999999999</v>
      </c>
      <c r="F115" s="2">
        <v>79.852800000000002</v>
      </c>
      <c r="G115" s="2" t="s">
        <v>554</v>
      </c>
      <c r="H115" s="2">
        <v>2024</v>
      </c>
      <c r="I115" s="2">
        <v>-0.42936004906973002</v>
      </c>
      <c r="J115" s="2">
        <v>53.8</v>
      </c>
      <c r="K115" s="2">
        <v>17.2</v>
      </c>
      <c r="L115" s="2">
        <v>50.8</v>
      </c>
      <c r="M115" s="2">
        <v>51.5</v>
      </c>
      <c r="N115" s="2">
        <v>70.2</v>
      </c>
      <c r="O115" s="2"/>
      <c r="P115" s="2">
        <v>0.27</v>
      </c>
      <c r="Q115" s="2">
        <v>9.93</v>
      </c>
      <c r="R115" s="2">
        <v>200</v>
      </c>
      <c r="S115" s="16"/>
    </row>
    <row r="116" spans="1:19" hidden="1" x14ac:dyDescent="0.35">
      <c r="A116" s="15" t="s">
        <v>555</v>
      </c>
      <c r="B116" s="2" t="s">
        <v>15</v>
      </c>
      <c r="C116" s="2" t="s">
        <v>16</v>
      </c>
      <c r="D116" s="2" t="s">
        <v>556</v>
      </c>
      <c r="E116" s="2">
        <v>-29.520800000000001</v>
      </c>
      <c r="F116" s="2">
        <v>27.716699999999999</v>
      </c>
      <c r="G116" s="2" t="s">
        <v>559</v>
      </c>
      <c r="H116" s="2">
        <v>2024</v>
      </c>
      <c r="I116" s="2">
        <v>6.10544624245032</v>
      </c>
      <c r="J116" s="2"/>
      <c r="K116" s="2"/>
      <c r="L116" s="2"/>
      <c r="M116" s="2"/>
      <c r="N116" s="2"/>
      <c r="O116" s="2"/>
      <c r="P116" s="2"/>
      <c r="Q116" s="2"/>
      <c r="R116" s="2"/>
      <c r="S116" s="16"/>
    </row>
    <row r="117" spans="1:19" hidden="1" x14ac:dyDescent="0.35">
      <c r="A117" s="15" t="s">
        <v>560</v>
      </c>
      <c r="B117" s="2" t="s">
        <v>22</v>
      </c>
      <c r="C117" s="2" t="s">
        <v>3</v>
      </c>
      <c r="D117" s="2" t="s">
        <v>561</v>
      </c>
      <c r="E117" s="2">
        <v>54.689599999999999</v>
      </c>
      <c r="F117" s="2">
        <v>25.279900000000001</v>
      </c>
      <c r="G117" s="2" t="s">
        <v>564</v>
      </c>
      <c r="H117" s="2">
        <v>2024</v>
      </c>
      <c r="I117" s="2">
        <v>0.71573583522872297</v>
      </c>
      <c r="J117" s="2"/>
      <c r="K117" s="2"/>
      <c r="L117" s="2"/>
      <c r="M117" s="2"/>
      <c r="N117" s="2"/>
      <c r="O117" s="2"/>
      <c r="P117" s="2"/>
      <c r="Q117" s="2"/>
      <c r="R117" s="2"/>
      <c r="S117" s="16"/>
    </row>
    <row r="118" spans="1:19" hidden="1" x14ac:dyDescent="0.35">
      <c r="A118" s="15" t="s">
        <v>565</v>
      </c>
      <c r="B118" s="2" t="s">
        <v>22</v>
      </c>
      <c r="C118" s="2" t="s">
        <v>3</v>
      </c>
      <c r="D118" s="2" t="s">
        <v>565</v>
      </c>
      <c r="E118" s="2">
        <v>49.61</v>
      </c>
      <c r="F118" s="2">
        <v>6.1295999999999999</v>
      </c>
      <c r="G118" s="2" t="s">
        <v>568</v>
      </c>
      <c r="H118" s="2">
        <v>2024</v>
      </c>
      <c r="I118" s="2">
        <v>2.0511326995485901</v>
      </c>
      <c r="J118" s="2"/>
      <c r="K118" s="2"/>
      <c r="L118" s="2"/>
      <c r="M118" s="2"/>
      <c r="N118" s="2"/>
      <c r="O118" s="2"/>
      <c r="P118" s="2"/>
      <c r="Q118" s="2"/>
      <c r="R118" s="2"/>
      <c r="S118" s="16"/>
    </row>
    <row r="119" spans="1:19" hidden="1" x14ac:dyDescent="0.35">
      <c r="A119" s="15" t="s">
        <v>569</v>
      </c>
      <c r="B119" s="2" t="s">
        <v>22</v>
      </c>
      <c r="C119" s="2" t="s">
        <v>3</v>
      </c>
      <c r="D119" s="2" t="s">
        <v>570</v>
      </c>
      <c r="E119" s="2">
        <v>56.9465</v>
      </c>
      <c r="F119" s="2">
        <v>24.104800000000001</v>
      </c>
      <c r="G119" s="2" t="s">
        <v>573</v>
      </c>
      <c r="H119" s="2">
        <v>2024</v>
      </c>
      <c r="I119" s="2">
        <v>1.2657988582872901</v>
      </c>
      <c r="J119" s="2"/>
      <c r="K119" s="2"/>
      <c r="L119" s="2"/>
      <c r="M119" s="2"/>
      <c r="N119" s="2"/>
      <c r="O119" s="2"/>
      <c r="P119" s="2"/>
      <c r="Q119" s="2"/>
      <c r="R119" s="2"/>
      <c r="S119" s="16"/>
    </row>
    <row r="120" spans="1:19" hidden="1" x14ac:dyDescent="0.35">
      <c r="A120" s="15" t="s">
        <v>574</v>
      </c>
      <c r="B120" s="2" t="s">
        <v>48</v>
      </c>
      <c r="C120" s="2" t="s">
        <v>3</v>
      </c>
      <c r="D120" s="2"/>
      <c r="E120" s="2">
        <v>22.166699999999999</v>
      </c>
      <c r="F120" s="2">
        <v>113.55</v>
      </c>
      <c r="G120" s="2" t="s">
        <v>577</v>
      </c>
      <c r="H120" s="2">
        <v>2024</v>
      </c>
      <c r="I120" s="2">
        <v>0.67249859885436503</v>
      </c>
      <c r="J120" s="2"/>
      <c r="K120" s="2"/>
      <c r="L120" s="2"/>
      <c r="M120" s="2"/>
      <c r="N120" s="2"/>
      <c r="O120" s="2"/>
      <c r="P120" s="2"/>
      <c r="Q120" s="2"/>
      <c r="R120" s="2"/>
      <c r="S120" s="16"/>
    </row>
    <row r="121" spans="1:19" hidden="1" x14ac:dyDescent="0.35">
      <c r="A121" s="15" t="s">
        <v>578</v>
      </c>
      <c r="B121" s="2" t="s">
        <v>2</v>
      </c>
      <c r="C121" s="2" t="s">
        <v>3</v>
      </c>
      <c r="D121" s="2" t="s">
        <v>579</v>
      </c>
      <c r="E121" s="2"/>
      <c r="F121" s="2"/>
      <c r="G121" s="2"/>
      <c r="H121" s="2"/>
      <c r="I121" s="2"/>
      <c r="J121" s="2"/>
      <c r="K121" s="2"/>
      <c r="L121" s="2"/>
      <c r="M121" s="2"/>
      <c r="N121" s="2"/>
      <c r="O121" s="2"/>
      <c r="P121" s="2"/>
      <c r="Q121" s="2"/>
      <c r="R121" s="2"/>
      <c r="S121" s="16"/>
    </row>
    <row r="122" spans="1:19" hidden="1" x14ac:dyDescent="0.35">
      <c r="A122" s="15" t="s">
        <v>580</v>
      </c>
      <c r="B122" s="2" t="s">
        <v>8</v>
      </c>
      <c r="C122" s="2" t="s">
        <v>16</v>
      </c>
      <c r="D122" s="2" t="s">
        <v>581</v>
      </c>
      <c r="E122" s="2">
        <v>33.990499999999997</v>
      </c>
      <c r="F122" s="2">
        <v>-6.8704000000000001</v>
      </c>
      <c r="G122" s="2" t="s">
        <v>584</v>
      </c>
      <c r="H122" s="2">
        <v>2024</v>
      </c>
      <c r="I122" s="2">
        <v>0.98525659200450699</v>
      </c>
      <c r="J122" s="2"/>
      <c r="K122" s="2"/>
      <c r="L122" s="2"/>
      <c r="M122" s="2"/>
      <c r="N122" s="2"/>
      <c r="O122" s="2"/>
      <c r="P122" s="2"/>
      <c r="Q122" s="2"/>
      <c r="R122" s="2"/>
      <c r="S122" s="16"/>
    </row>
    <row r="123" spans="1:19" hidden="1" x14ac:dyDescent="0.35">
      <c r="A123" s="15" t="s">
        <v>585</v>
      </c>
      <c r="B123" s="2" t="s">
        <v>22</v>
      </c>
      <c r="C123" s="2" t="s">
        <v>3</v>
      </c>
      <c r="D123" s="2" t="s">
        <v>585</v>
      </c>
      <c r="E123" s="2">
        <v>43.732500000000002</v>
      </c>
      <c r="F123" s="2">
        <v>7.4189100000000003</v>
      </c>
      <c r="G123" s="2"/>
      <c r="H123" s="2"/>
      <c r="I123" s="2"/>
      <c r="J123" s="2"/>
      <c r="K123" s="2"/>
      <c r="L123" s="2"/>
      <c r="M123" s="2"/>
      <c r="N123" s="2"/>
      <c r="O123" s="2">
        <v>5.37</v>
      </c>
      <c r="P123" s="2"/>
      <c r="Q123" s="2"/>
      <c r="R123" s="2"/>
      <c r="S123" s="16"/>
    </row>
    <row r="124" spans="1:19" hidden="1" x14ac:dyDescent="0.35">
      <c r="A124" s="15" t="s">
        <v>588</v>
      </c>
      <c r="B124" s="2" t="s">
        <v>22</v>
      </c>
      <c r="C124" s="2" t="s">
        <v>23</v>
      </c>
      <c r="D124" s="2" t="s">
        <v>589</v>
      </c>
      <c r="E124" s="2">
        <v>47.0167</v>
      </c>
      <c r="F124" s="2">
        <v>28.849699999999999</v>
      </c>
      <c r="G124" s="2" t="s">
        <v>592</v>
      </c>
      <c r="H124" s="2">
        <v>2024</v>
      </c>
      <c r="I124" s="2">
        <v>4.6777351600704797</v>
      </c>
      <c r="J124" s="2"/>
      <c r="K124" s="2"/>
      <c r="L124" s="2"/>
      <c r="M124" s="2"/>
      <c r="N124" s="2"/>
      <c r="O124" s="2"/>
      <c r="P124" s="2"/>
      <c r="Q124" s="2"/>
      <c r="R124" s="2"/>
      <c r="S124" s="16"/>
    </row>
    <row r="125" spans="1:19" hidden="1" x14ac:dyDescent="0.35">
      <c r="A125" s="15" t="s">
        <v>593</v>
      </c>
      <c r="B125" s="2" t="s">
        <v>15</v>
      </c>
      <c r="C125" s="2" t="s">
        <v>9</v>
      </c>
      <c r="D125" s="2" t="s">
        <v>594</v>
      </c>
      <c r="E125" s="2">
        <v>-20.466699999999999</v>
      </c>
      <c r="F125" s="2">
        <v>45.716700000000003</v>
      </c>
      <c r="G125" s="2" t="s">
        <v>597</v>
      </c>
      <c r="H125" s="2">
        <v>2024</v>
      </c>
      <c r="I125" s="2">
        <v>7.61335784313723</v>
      </c>
      <c r="J125" s="2"/>
      <c r="K125" s="2"/>
      <c r="L125" s="2"/>
      <c r="M125" s="2"/>
      <c r="N125" s="2"/>
      <c r="O125" s="2"/>
      <c r="P125" s="2"/>
      <c r="Q125" s="2"/>
      <c r="R125" s="2"/>
      <c r="S125" s="16"/>
    </row>
    <row r="126" spans="1:19" hidden="1" x14ac:dyDescent="0.35">
      <c r="A126" s="15" t="s">
        <v>598</v>
      </c>
      <c r="B126" s="2" t="s">
        <v>93</v>
      </c>
      <c r="C126" s="2" t="s">
        <v>23</v>
      </c>
      <c r="D126" s="2" t="s">
        <v>599</v>
      </c>
      <c r="E126" s="2">
        <v>4.1741999999999999</v>
      </c>
      <c r="F126" s="2">
        <v>73.510900000000007</v>
      </c>
      <c r="G126" s="2" t="s">
        <v>602</v>
      </c>
      <c r="H126" s="2">
        <v>2024</v>
      </c>
      <c r="I126" s="2">
        <v>1.4109352791013401</v>
      </c>
      <c r="J126" s="2"/>
      <c r="K126" s="2"/>
      <c r="L126" s="2"/>
      <c r="M126" s="2"/>
      <c r="N126" s="2"/>
      <c r="O126" s="2"/>
      <c r="P126" s="2"/>
      <c r="Q126" s="2"/>
      <c r="R126" s="2"/>
      <c r="S126" s="16"/>
    </row>
    <row r="127" spans="1:19" x14ac:dyDescent="0.35">
      <c r="A127" s="15" t="s">
        <v>603</v>
      </c>
      <c r="B127" s="2" t="s">
        <v>2</v>
      </c>
      <c r="C127" s="2" t="s">
        <v>23</v>
      </c>
      <c r="D127" s="2" t="s">
        <v>604</v>
      </c>
      <c r="E127" s="2">
        <v>19.427</v>
      </c>
      <c r="F127" s="2">
        <v>-99.127600000000001</v>
      </c>
      <c r="G127" s="2" t="s">
        <v>607</v>
      </c>
      <c r="H127" s="2">
        <v>2024</v>
      </c>
      <c r="I127" s="2">
        <v>4.7222558845293197</v>
      </c>
      <c r="J127" s="2">
        <v>52.8</v>
      </c>
      <c r="K127" s="2">
        <v>16.8</v>
      </c>
      <c r="L127" s="2">
        <v>50.1</v>
      </c>
      <c r="M127" s="2">
        <v>51.2</v>
      </c>
      <c r="N127" s="2">
        <v>69.8</v>
      </c>
      <c r="O127" s="2">
        <v>1.98</v>
      </c>
      <c r="P127" s="2">
        <v>3.05</v>
      </c>
      <c r="Q127" s="2">
        <v>58.2</v>
      </c>
      <c r="R127" s="2">
        <v>350</v>
      </c>
      <c r="S127" s="16">
        <v>55</v>
      </c>
    </row>
    <row r="128" spans="1:19" hidden="1" x14ac:dyDescent="0.35">
      <c r="A128" s="15" t="s">
        <v>608</v>
      </c>
      <c r="B128" s="2" t="s">
        <v>48</v>
      </c>
      <c r="C128" s="2" t="s">
        <v>23</v>
      </c>
      <c r="D128" s="2" t="s">
        <v>609</v>
      </c>
      <c r="E128" s="2">
        <v>7.1104599999999998</v>
      </c>
      <c r="F128" s="2">
        <v>171.13499999999999</v>
      </c>
      <c r="G128" s="2"/>
      <c r="H128" s="2"/>
      <c r="I128" s="2"/>
      <c r="J128" s="2"/>
      <c r="K128" s="2"/>
      <c r="L128" s="2"/>
      <c r="M128" s="2"/>
      <c r="N128" s="2"/>
      <c r="O128" s="2"/>
      <c r="P128" s="2"/>
      <c r="Q128" s="2"/>
      <c r="R128" s="2"/>
      <c r="S128" s="16"/>
    </row>
    <row r="129" spans="1:19" hidden="1" x14ac:dyDescent="0.35">
      <c r="A129" s="15" t="s">
        <v>612</v>
      </c>
      <c r="B129" s="2" t="s">
        <v>22</v>
      </c>
      <c r="C129" s="2" t="s">
        <v>23</v>
      </c>
      <c r="D129" s="2" t="s">
        <v>613</v>
      </c>
      <c r="E129" s="2">
        <v>42.002400000000002</v>
      </c>
      <c r="F129" s="2">
        <v>21.4361</v>
      </c>
      <c r="G129" s="2" t="s">
        <v>616</v>
      </c>
      <c r="H129" s="2">
        <v>2024</v>
      </c>
      <c r="I129" s="2">
        <v>3.4897408602695399</v>
      </c>
      <c r="J129" s="2"/>
      <c r="K129" s="2"/>
      <c r="L129" s="2"/>
      <c r="M129" s="2"/>
      <c r="N129" s="2"/>
      <c r="O129" s="2"/>
      <c r="P129" s="2"/>
      <c r="Q129" s="2"/>
      <c r="R129" s="2"/>
      <c r="S129" s="16"/>
    </row>
    <row r="130" spans="1:19" hidden="1" x14ac:dyDescent="0.35">
      <c r="A130" s="15" t="s">
        <v>617</v>
      </c>
      <c r="B130" s="2" t="s">
        <v>15</v>
      </c>
      <c r="C130" s="2" t="s">
        <v>9</v>
      </c>
      <c r="D130" s="2" t="s">
        <v>618</v>
      </c>
      <c r="E130" s="2">
        <v>13.566700000000001</v>
      </c>
      <c r="F130" s="2">
        <v>-7.5003399999999996</v>
      </c>
      <c r="G130" s="2" t="s">
        <v>621</v>
      </c>
      <c r="H130" s="2">
        <v>2024</v>
      </c>
      <c r="I130" s="2">
        <v>3.2063986409965999</v>
      </c>
      <c r="J130" s="2"/>
      <c r="K130" s="2"/>
      <c r="L130" s="2"/>
      <c r="M130" s="2"/>
      <c r="N130" s="2"/>
      <c r="O130" s="2"/>
      <c r="P130" s="2"/>
      <c r="Q130" s="2"/>
      <c r="R130" s="2"/>
      <c r="S130" s="16"/>
    </row>
    <row r="131" spans="1:19" hidden="1" x14ac:dyDescent="0.35">
      <c r="A131" s="15" t="s">
        <v>622</v>
      </c>
      <c r="B131" s="2" t="s">
        <v>8</v>
      </c>
      <c r="C131" s="2" t="s">
        <v>3</v>
      </c>
      <c r="D131" s="2" t="s">
        <v>623</v>
      </c>
      <c r="E131" s="2">
        <v>35.904200000000003</v>
      </c>
      <c r="F131" s="2">
        <v>14.5189</v>
      </c>
      <c r="G131" s="2" t="s">
        <v>626</v>
      </c>
      <c r="H131" s="2">
        <v>2024</v>
      </c>
      <c r="I131" s="2">
        <v>1.6507946928310899</v>
      </c>
      <c r="J131" s="2"/>
      <c r="K131" s="2"/>
      <c r="L131" s="2"/>
      <c r="M131" s="2"/>
      <c r="N131" s="2"/>
      <c r="O131" s="2"/>
      <c r="P131" s="2"/>
      <c r="Q131" s="2"/>
      <c r="R131" s="2"/>
      <c r="S131" s="16"/>
    </row>
    <row r="132" spans="1:19" hidden="1" x14ac:dyDescent="0.35">
      <c r="A132" s="15" t="s">
        <v>627</v>
      </c>
      <c r="B132" s="2" t="s">
        <v>48</v>
      </c>
      <c r="C132" s="2" t="s">
        <v>16</v>
      </c>
      <c r="D132" s="2" t="s">
        <v>628</v>
      </c>
      <c r="E132" s="2">
        <v>21.914000000000001</v>
      </c>
      <c r="F132" s="2">
        <v>95.956199999999995</v>
      </c>
      <c r="G132" s="2"/>
      <c r="H132" s="2"/>
      <c r="I132" s="2"/>
      <c r="J132" s="2">
        <v>48.8</v>
      </c>
      <c r="K132" s="2">
        <v>13.2</v>
      </c>
      <c r="L132" s="2">
        <v>46.8</v>
      </c>
      <c r="M132" s="2">
        <v>46.9</v>
      </c>
      <c r="N132" s="2">
        <v>62.8</v>
      </c>
      <c r="O132" s="2"/>
      <c r="P132" s="2"/>
      <c r="Q132" s="2"/>
      <c r="R132" s="2">
        <v>140</v>
      </c>
      <c r="S132" s="16"/>
    </row>
    <row r="133" spans="1:19" hidden="1" x14ac:dyDescent="0.35">
      <c r="A133" s="15" t="s">
        <v>631</v>
      </c>
      <c r="B133" s="2" t="s">
        <v>22</v>
      </c>
      <c r="C133" s="2" t="s">
        <v>23</v>
      </c>
      <c r="D133" s="2" t="s">
        <v>632</v>
      </c>
      <c r="E133" s="2">
        <v>42.4602</v>
      </c>
      <c r="F133" s="2">
        <v>19.259499999999999</v>
      </c>
      <c r="G133" s="2" t="s">
        <v>635</v>
      </c>
      <c r="H133" s="2">
        <v>2024</v>
      </c>
      <c r="I133" s="2">
        <v>3.3367500928228102</v>
      </c>
      <c r="J133" s="2"/>
      <c r="K133" s="2"/>
      <c r="L133" s="2"/>
      <c r="M133" s="2"/>
      <c r="N133" s="2"/>
      <c r="O133" s="2"/>
      <c r="P133" s="2"/>
      <c r="Q133" s="2"/>
      <c r="R133" s="2"/>
      <c r="S133" s="16"/>
    </row>
    <row r="134" spans="1:19" x14ac:dyDescent="0.35">
      <c r="A134" s="15" t="s">
        <v>636</v>
      </c>
      <c r="B134" s="2" t="s">
        <v>48</v>
      </c>
      <c r="C134" s="2" t="s">
        <v>23</v>
      </c>
      <c r="D134" s="2" t="s">
        <v>637</v>
      </c>
      <c r="E134" s="2">
        <v>47.9129</v>
      </c>
      <c r="F134" s="2">
        <v>106.937</v>
      </c>
      <c r="G134" s="2" t="s">
        <v>640</v>
      </c>
      <c r="H134" s="2">
        <v>2024</v>
      </c>
      <c r="I134" s="2">
        <v>6.1977990165841996</v>
      </c>
      <c r="J134" s="2">
        <v>47.5</v>
      </c>
      <c r="K134" s="2">
        <v>12.5</v>
      </c>
      <c r="L134" s="2">
        <v>45.5</v>
      </c>
      <c r="M134" s="2">
        <v>45.8</v>
      </c>
      <c r="N134" s="2">
        <v>60.5</v>
      </c>
      <c r="O134" s="2"/>
      <c r="P134" s="2"/>
      <c r="Q134" s="2"/>
      <c r="R134" s="2"/>
      <c r="S134" s="16"/>
    </row>
    <row r="135" spans="1:19" hidden="1" x14ac:dyDescent="0.35">
      <c r="A135" s="15" t="s">
        <v>641</v>
      </c>
      <c r="B135" s="2" t="s">
        <v>48</v>
      </c>
      <c r="C135" s="2" t="s">
        <v>3</v>
      </c>
      <c r="D135" s="2" t="s">
        <v>642</v>
      </c>
      <c r="E135" s="2">
        <v>15.1935</v>
      </c>
      <c r="F135" s="2">
        <v>145.76499999999999</v>
      </c>
      <c r="G135" s="2"/>
      <c r="H135" s="2"/>
      <c r="I135" s="2"/>
      <c r="J135" s="2"/>
      <c r="K135" s="2"/>
      <c r="L135" s="2"/>
      <c r="M135" s="2"/>
      <c r="N135" s="2"/>
      <c r="O135" s="2"/>
      <c r="P135" s="2"/>
      <c r="Q135" s="2"/>
      <c r="R135" s="2"/>
      <c r="S135" s="16"/>
    </row>
    <row r="136" spans="1:19" hidden="1" x14ac:dyDescent="0.35">
      <c r="A136" s="15" t="s">
        <v>645</v>
      </c>
      <c r="B136" s="2" t="s">
        <v>15</v>
      </c>
      <c r="C136" s="2" t="s">
        <v>9</v>
      </c>
      <c r="D136" s="2" t="s">
        <v>646</v>
      </c>
      <c r="E136" s="2">
        <v>-25.9664</v>
      </c>
      <c r="F136" s="2">
        <v>32.571300000000001</v>
      </c>
      <c r="G136" s="2" t="s">
        <v>649</v>
      </c>
      <c r="H136" s="2">
        <v>2024</v>
      </c>
      <c r="I136" s="2">
        <v>4.0785683481202204</v>
      </c>
      <c r="J136" s="2"/>
      <c r="K136" s="2"/>
      <c r="L136" s="2"/>
      <c r="M136" s="2"/>
      <c r="N136" s="2"/>
      <c r="O136" s="2"/>
      <c r="P136" s="2"/>
      <c r="Q136" s="2"/>
      <c r="R136" s="2"/>
      <c r="S136" s="16"/>
    </row>
    <row r="137" spans="1:19" hidden="1" x14ac:dyDescent="0.35">
      <c r="A137" s="15" t="s">
        <v>650</v>
      </c>
      <c r="B137" s="2" t="s">
        <v>15</v>
      </c>
      <c r="C137" s="2" t="s">
        <v>16</v>
      </c>
      <c r="D137" s="2" t="s">
        <v>651</v>
      </c>
      <c r="E137" s="2">
        <v>18.236699999999999</v>
      </c>
      <c r="F137" s="2">
        <v>-15.9824</v>
      </c>
      <c r="G137" s="2" t="s">
        <v>654</v>
      </c>
      <c r="H137" s="2">
        <v>2024</v>
      </c>
      <c r="I137" s="2">
        <v>2.4916434748197198</v>
      </c>
      <c r="J137" s="2"/>
      <c r="K137" s="2"/>
      <c r="L137" s="2"/>
      <c r="M137" s="2"/>
      <c r="N137" s="2"/>
      <c r="O137" s="2"/>
      <c r="P137" s="2"/>
      <c r="Q137" s="2"/>
      <c r="R137" s="2"/>
      <c r="S137" s="16"/>
    </row>
    <row r="138" spans="1:19" hidden="1" x14ac:dyDescent="0.35">
      <c r="A138" s="15" t="s">
        <v>655</v>
      </c>
      <c r="B138" s="2" t="s">
        <v>15</v>
      </c>
      <c r="C138" s="2" t="s">
        <v>23</v>
      </c>
      <c r="D138" s="2" t="s">
        <v>656</v>
      </c>
      <c r="E138" s="2">
        <v>-20.160499999999999</v>
      </c>
      <c r="F138" s="2">
        <v>57.497700000000002</v>
      </c>
      <c r="G138" s="2" t="s">
        <v>659</v>
      </c>
      <c r="H138" s="2">
        <v>2024</v>
      </c>
      <c r="I138" s="2">
        <v>3.6045220384796002</v>
      </c>
      <c r="J138" s="2"/>
      <c r="K138" s="2"/>
      <c r="L138" s="2"/>
      <c r="M138" s="2"/>
      <c r="N138" s="2"/>
      <c r="O138" s="2"/>
      <c r="P138" s="2"/>
      <c r="Q138" s="2"/>
      <c r="R138" s="2"/>
      <c r="S138" s="16"/>
    </row>
    <row r="139" spans="1:19" hidden="1" x14ac:dyDescent="0.35">
      <c r="A139" s="15" t="s">
        <v>660</v>
      </c>
      <c r="B139" s="2" t="s">
        <v>15</v>
      </c>
      <c r="C139" s="2" t="s">
        <v>9</v>
      </c>
      <c r="D139" s="2" t="s">
        <v>661</v>
      </c>
      <c r="E139" s="2">
        <v>-13.9899</v>
      </c>
      <c r="F139" s="2">
        <v>33.770299999999999</v>
      </c>
      <c r="G139" s="2" t="s">
        <v>664</v>
      </c>
      <c r="H139" s="2">
        <v>2024</v>
      </c>
      <c r="I139" s="2">
        <v>32.179650422502498</v>
      </c>
      <c r="J139" s="2"/>
      <c r="K139" s="2"/>
      <c r="L139" s="2"/>
      <c r="M139" s="2"/>
      <c r="N139" s="2"/>
      <c r="O139" s="2"/>
      <c r="P139" s="2"/>
      <c r="Q139" s="2"/>
      <c r="R139" s="2"/>
      <c r="S139" s="16"/>
    </row>
    <row r="140" spans="1:19" x14ac:dyDescent="0.35">
      <c r="A140" s="15" t="s">
        <v>665</v>
      </c>
      <c r="B140" s="2" t="s">
        <v>48</v>
      </c>
      <c r="C140" s="2" t="s">
        <v>23</v>
      </c>
      <c r="D140" s="2" t="s">
        <v>666</v>
      </c>
      <c r="E140" s="2">
        <v>3.1243300000000001</v>
      </c>
      <c r="F140" s="2">
        <v>101.684</v>
      </c>
      <c r="G140" s="2" t="s">
        <v>669</v>
      </c>
      <c r="H140" s="2">
        <v>2024</v>
      </c>
      <c r="I140" s="2">
        <v>1.834100204499</v>
      </c>
      <c r="J140" s="2">
        <v>56.8</v>
      </c>
      <c r="K140" s="2">
        <v>19.5</v>
      </c>
      <c r="L140" s="2">
        <v>53.8</v>
      </c>
      <c r="M140" s="2">
        <v>54.8</v>
      </c>
      <c r="N140" s="2">
        <v>75.2</v>
      </c>
      <c r="O140" s="2"/>
      <c r="P140" s="2"/>
      <c r="Q140" s="2"/>
      <c r="R140" s="2">
        <v>380</v>
      </c>
      <c r="S140" s="16"/>
    </row>
    <row r="141" spans="1:19" hidden="1" x14ac:dyDescent="0.35">
      <c r="A141" s="15" t="s">
        <v>670</v>
      </c>
      <c r="B141" s="2" t="s">
        <v>15</v>
      </c>
      <c r="C141" s="2" t="s">
        <v>16</v>
      </c>
      <c r="D141" s="2" t="s">
        <v>671</v>
      </c>
      <c r="E141" s="2">
        <v>-22.564800000000002</v>
      </c>
      <c r="F141" s="2">
        <v>17.0931</v>
      </c>
      <c r="G141" s="2" t="s">
        <v>674</v>
      </c>
      <c r="H141" s="2">
        <v>2024</v>
      </c>
      <c r="I141" s="2">
        <v>4.23903922877036</v>
      </c>
      <c r="J141" s="2"/>
      <c r="K141" s="2"/>
      <c r="L141" s="2"/>
      <c r="M141" s="2"/>
      <c r="N141" s="2"/>
      <c r="O141" s="2"/>
      <c r="P141" s="2"/>
      <c r="Q141" s="2"/>
      <c r="R141" s="2"/>
      <c r="S141" s="16"/>
    </row>
    <row r="142" spans="1:19" hidden="1" x14ac:dyDescent="0.35">
      <c r="A142" s="15" t="s">
        <v>675</v>
      </c>
      <c r="B142" s="2" t="s">
        <v>48</v>
      </c>
      <c r="C142" s="2" t="s">
        <v>3</v>
      </c>
      <c r="D142" s="2" t="s">
        <v>676</v>
      </c>
      <c r="E142" s="2">
        <v>-22.267700000000001</v>
      </c>
      <c r="F142" s="2">
        <v>166.464</v>
      </c>
      <c r="G142" s="2"/>
      <c r="H142" s="2"/>
      <c r="I142" s="2"/>
      <c r="J142" s="2"/>
      <c r="K142" s="2"/>
      <c r="L142" s="2"/>
      <c r="M142" s="2"/>
      <c r="N142" s="2"/>
      <c r="O142" s="2"/>
      <c r="P142" s="2"/>
      <c r="Q142" s="2"/>
      <c r="R142" s="2"/>
      <c r="S142" s="16"/>
    </row>
    <row r="143" spans="1:19" hidden="1" x14ac:dyDescent="0.35">
      <c r="A143" s="15" t="s">
        <v>679</v>
      </c>
      <c r="B143" s="2" t="s">
        <v>15</v>
      </c>
      <c r="C143" s="2" t="s">
        <v>9</v>
      </c>
      <c r="D143" s="2" t="s">
        <v>680</v>
      </c>
      <c r="E143" s="2">
        <v>13.513999999999999</v>
      </c>
      <c r="F143" s="2">
        <v>2.1073</v>
      </c>
      <c r="G143" s="2" t="s">
        <v>683</v>
      </c>
      <c r="H143" s="2">
        <v>2024</v>
      </c>
      <c r="I143" s="2">
        <v>9.07151997725013</v>
      </c>
      <c r="J143" s="2"/>
      <c r="K143" s="2"/>
      <c r="L143" s="2"/>
      <c r="M143" s="2"/>
      <c r="N143" s="2"/>
      <c r="O143" s="2"/>
      <c r="P143" s="2"/>
      <c r="Q143" s="2"/>
      <c r="R143" s="2"/>
      <c r="S143" s="16"/>
    </row>
    <row r="144" spans="1:19" x14ac:dyDescent="0.35">
      <c r="A144" s="15" t="s">
        <v>684</v>
      </c>
      <c r="B144" s="2" t="s">
        <v>15</v>
      </c>
      <c r="C144" s="2" t="s">
        <v>16</v>
      </c>
      <c r="D144" s="2" t="s">
        <v>685</v>
      </c>
      <c r="E144" s="2">
        <v>9.0580400000000001</v>
      </c>
      <c r="F144" s="2">
        <v>7.4890600000000003</v>
      </c>
      <c r="G144" s="2" t="s">
        <v>688</v>
      </c>
      <c r="H144" s="2">
        <v>2024</v>
      </c>
      <c r="I144" s="2">
        <v>33.241659055274901</v>
      </c>
      <c r="J144" s="2">
        <v>40.799999999999997</v>
      </c>
      <c r="K144" s="2">
        <v>9.5</v>
      </c>
      <c r="L144" s="2">
        <v>39.200000000000003</v>
      </c>
      <c r="M144" s="2">
        <v>39.5</v>
      </c>
      <c r="N144" s="2">
        <v>52.5</v>
      </c>
      <c r="O144" s="2">
        <v>1.05</v>
      </c>
      <c r="P144" s="2">
        <v>1.32</v>
      </c>
      <c r="Q144" s="2">
        <v>16.2</v>
      </c>
      <c r="R144" s="2">
        <v>180</v>
      </c>
      <c r="S144" s="16">
        <v>40</v>
      </c>
    </row>
    <row r="145" spans="1:19" hidden="1" x14ac:dyDescent="0.35">
      <c r="A145" s="15" t="s">
        <v>689</v>
      </c>
      <c r="B145" s="2" t="s">
        <v>2</v>
      </c>
      <c r="C145" s="2" t="s">
        <v>16</v>
      </c>
      <c r="D145" s="2" t="s">
        <v>690</v>
      </c>
      <c r="E145" s="2">
        <v>12.147500000000001</v>
      </c>
      <c r="F145" s="2">
        <v>-86.273399999999995</v>
      </c>
      <c r="G145" s="2" t="s">
        <v>693</v>
      </c>
      <c r="H145" s="2">
        <v>2024</v>
      </c>
      <c r="I145" s="2">
        <v>4.6247384105714104</v>
      </c>
      <c r="J145" s="2"/>
      <c r="K145" s="2"/>
      <c r="L145" s="2"/>
      <c r="M145" s="2"/>
      <c r="N145" s="2"/>
      <c r="O145" s="2"/>
      <c r="P145" s="2">
        <v>0.21</v>
      </c>
      <c r="Q145" s="2">
        <v>9.02</v>
      </c>
      <c r="R145" s="2"/>
      <c r="S145" s="16"/>
    </row>
    <row r="146" spans="1:19" hidden="1" x14ac:dyDescent="0.35">
      <c r="A146" s="15" t="s">
        <v>694</v>
      </c>
      <c r="B146" s="2" t="s">
        <v>22</v>
      </c>
      <c r="C146" s="2" t="s">
        <v>3</v>
      </c>
      <c r="D146" s="2" t="s">
        <v>695</v>
      </c>
      <c r="E146" s="2">
        <v>52.373800000000003</v>
      </c>
      <c r="F146" s="2">
        <v>4.8909500000000001</v>
      </c>
      <c r="G146" s="2" t="s">
        <v>698</v>
      </c>
      <c r="H146" s="2">
        <v>2024</v>
      </c>
      <c r="I146" s="2">
        <v>3.34754304219953</v>
      </c>
      <c r="J146" s="2"/>
      <c r="K146" s="2"/>
      <c r="L146" s="2"/>
      <c r="M146" s="2"/>
      <c r="N146" s="2"/>
      <c r="O146" s="2"/>
      <c r="P146" s="2">
        <v>5.67</v>
      </c>
      <c r="Q146" s="2">
        <v>139.68</v>
      </c>
      <c r="R146" s="2"/>
      <c r="S146" s="16"/>
    </row>
    <row r="147" spans="1:19" x14ac:dyDescent="0.35">
      <c r="A147" s="15" t="s">
        <v>699</v>
      </c>
      <c r="B147" s="2" t="s">
        <v>22</v>
      </c>
      <c r="C147" s="2" t="s">
        <v>3</v>
      </c>
      <c r="D147" s="2" t="s">
        <v>700</v>
      </c>
      <c r="E147" s="2">
        <v>59.913800000000002</v>
      </c>
      <c r="F147" s="2">
        <v>10.7387</v>
      </c>
      <c r="G147" s="2" t="s">
        <v>703</v>
      </c>
      <c r="H147" s="2">
        <v>2024</v>
      </c>
      <c r="I147" s="2">
        <v>3.14530134431081</v>
      </c>
      <c r="J147" s="2">
        <v>73.8</v>
      </c>
      <c r="K147" s="2">
        <v>38.9</v>
      </c>
      <c r="L147" s="2">
        <v>69.8</v>
      </c>
      <c r="M147" s="2">
        <v>78.5</v>
      </c>
      <c r="N147" s="2">
        <v>105.3</v>
      </c>
      <c r="O147" s="2">
        <v>3.52</v>
      </c>
      <c r="P147" s="2">
        <v>6.54</v>
      </c>
      <c r="Q147" s="2">
        <v>145.19999999999999</v>
      </c>
      <c r="R147" s="2"/>
      <c r="S147" s="16"/>
    </row>
    <row r="148" spans="1:19" x14ac:dyDescent="0.35">
      <c r="A148" s="15" t="s">
        <v>704</v>
      </c>
      <c r="B148" s="2" t="s">
        <v>93</v>
      </c>
      <c r="C148" s="2" t="s">
        <v>16</v>
      </c>
      <c r="D148" s="2" t="s">
        <v>705</v>
      </c>
      <c r="E148" s="2">
        <v>27.693899999999999</v>
      </c>
      <c r="F148" s="2">
        <v>85.315700000000007</v>
      </c>
      <c r="G148" s="2" t="s">
        <v>708</v>
      </c>
      <c r="H148" s="2">
        <v>2024</v>
      </c>
      <c r="I148" s="2">
        <v>4.6850965426576998</v>
      </c>
      <c r="J148" s="2">
        <v>51.5</v>
      </c>
      <c r="K148" s="2">
        <v>15.8</v>
      </c>
      <c r="L148" s="2">
        <v>49.2</v>
      </c>
      <c r="M148" s="2">
        <v>49.8</v>
      </c>
      <c r="N148" s="2">
        <v>67.8</v>
      </c>
      <c r="O148" s="2"/>
      <c r="P148" s="2"/>
      <c r="Q148" s="2"/>
      <c r="R148" s="2">
        <v>150</v>
      </c>
      <c r="S148" s="16"/>
    </row>
    <row r="149" spans="1:19" hidden="1" x14ac:dyDescent="0.35">
      <c r="A149" s="15" t="s">
        <v>709</v>
      </c>
      <c r="B149" s="2" t="s">
        <v>48</v>
      </c>
      <c r="C149" s="2" t="s">
        <v>3</v>
      </c>
      <c r="D149" s="2" t="s">
        <v>710</v>
      </c>
      <c r="E149" s="2">
        <v>-0.54769999999999996</v>
      </c>
      <c r="F149" s="2">
        <v>166.92086699999999</v>
      </c>
      <c r="G149" s="2"/>
      <c r="H149" s="2"/>
      <c r="I149" s="2"/>
      <c r="J149" s="2"/>
      <c r="K149" s="2"/>
      <c r="L149" s="2"/>
      <c r="M149" s="2"/>
      <c r="N149" s="2"/>
      <c r="O149" s="2"/>
      <c r="P149" s="2"/>
      <c r="Q149" s="2"/>
      <c r="R149" s="2"/>
      <c r="S149" s="16"/>
    </row>
    <row r="150" spans="1:19" x14ac:dyDescent="0.35">
      <c r="A150" s="15" t="s">
        <v>713</v>
      </c>
      <c r="B150" s="2" t="s">
        <v>48</v>
      </c>
      <c r="C150" s="2" t="s">
        <v>3</v>
      </c>
      <c r="D150" s="2" t="s">
        <v>714</v>
      </c>
      <c r="E150" s="2">
        <v>-41.286499999999997</v>
      </c>
      <c r="F150" s="2">
        <v>174.77600000000001</v>
      </c>
      <c r="G150" s="2" t="s">
        <v>717</v>
      </c>
      <c r="H150" s="2">
        <v>2024</v>
      </c>
      <c r="I150" s="2">
        <v>2.9227978230195699</v>
      </c>
      <c r="J150" s="2">
        <v>66.2</v>
      </c>
      <c r="K150" s="2">
        <v>29.8</v>
      </c>
      <c r="L150" s="2">
        <v>62.8</v>
      </c>
      <c r="M150" s="2">
        <v>65.3</v>
      </c>
      <c r="N150" s="2">
        <v>88.5</v>
      </c>
      <c r="O150" s="2"/>
      <c r="P150" s="2"/>
      <c r="Q150" s="2"/>
      <c r="R150" s="2"/>
      <c r="S150" s="16"/>
    </row>
    <row r="151" spans="1:19" x14ac:dyDescent="0.35">
      <c r="A151" s="15" t="s">
        <v>718</v>
      </c>
      <c r="B151" s="2" t="s">
        <v>8</v>
      </c>
      <c r="C151" s="2" t="s">
        <v>3</v>
      </c>
      <c r="D151" s="2" t="s">
        <v>719</v>
      </c>
      <c r="E151" s="2">
        <v>23.610499999999998</v>
      </c>
      <c r="F151" s="2">
        <v>58.587400000000002</v>
      </c>
      <c r="G151" s="2" t="s">
        <v>722</v>
      </c>
      <c r="H151" s="2">
        <v>2024</v>
      </c>
      <c r="I151" s="2">
        <v>0.59358923624846904</v>
      </c>
      <c r="J151" s="2">
        <v>64.8</v>
      </c>
      <c r="K151" s="2">
        <v>25.2</v>
      </c>
      <c r="L151" s="2">
        <v>61.2</v>
      </c>
      <c r="M151" s="2">
        <v>62.8</v>
      </c>
      <c r="N151" s="2">
        <v>85.6</v>
      </c>
      <c r="O151" s="2"/>
      <c r="P151" s="2"/>
      <c r="Q151" s="2"/>
      <c r="R151" s="2">
        <v>550</v>
      </c>
      <c r="S151" s="16"/>
    </row>
    <row r="152" spans="1:19" x14ac:dyDescent="0.35">
      <c r="A152" s="15" t="s">
        <v>723</v>
      </c>
      <c r="B152" s="2" t="s">
        <v>8</v>
      </c>
      <c r="C152" s="2" t="s">
        <v>16</v>
      </c>
      <c r="D152" s="2" t="s">
        <v>724</v>
      </c>
      <c r="E152" s="2">
        <v>30.5167</v>
      </c>
      <c r="F152" s="2">
        <v>72.8</v>
      </c>
      <c r="G152" s="2" t="s">
        <v>727</v>
      </c>
      <c r="H152" s="2">
        <v>2024</v>
      </c>
      <c r="I152" s="2">
        <v>12.632531853045201</v>
      </c>
      <c r="J152" s="2">
        <v>43.2</v>
      </c>
      <c r="K152" s="2">
        <v>10.8</v>
      </c>
      <c r="L152" s="2">
        <v>41.8</v>
      </c>
      <c r="M152" s="2">
        <v>41.9</v>
      </c>
      <c r="N152" s="2">
        <v>55.8</v>
      </c>
      <c r="O152" s="2">
        <v>1.18</v>
      </c>
      <c r="P152" s="2">
        <v>1.52</v>
      </c>
      <c r="Q152" s="2">
        <v>20.8</v>
      </c>
      <c r="R152" s="2">
        <v>120</v>
      </c>
      <c r="S152" s="16">
        <v>30</v>
      </c>
    </row>
    <row r="153" spans="1:19" hidden="1" x14ac:dyDescent="0.35">
      <c r="A153" s="15" t="s">
        <v>728</v>
      </c>
      <c r="B153" s="2" t="s">
        <v>2</v>
      </c>
      <c r="C153" s="2" t="s">
        <v>3</v>
      </c>
      <c r="D153" s="2" t="s">
        <v>729</v>
      </c>
      <c r="E153" s="2">
        <v>8.9942700000000002</v>
      </c>
      <c r="F153" s="2">
        <v>-79.518799999999999</v>
      </c>
      <c r="G153" s="2" t="s">
        <v>732</v>
      </c>
      <c r="H153" s="2">
        <v>2024</v>
      </c>
      <c r="I153" s="2">
        <v>0.69322555100446004</v>
      </c>
      <c r="J153" s="2"/>
      <c r="K153" s="2"/>
      <c r="L153" s="2"/>
      <c r="M153" s="2"/>
      <c r="N153" s="2"/>
      <c r="O153" s="2"/>
      <c r="P153" s="2"/>
      <c r="Q153" s="2"/>
      <c r="R153" s="2"/>
      <c r="S153" s="16"/>
    </row>
    <row r="154" spans="1:19" hidden="1" x14ac:dyDescent="0.35">
      <c r="A154" s="15" t="s">
        <v>733</v>
      </c>
      <c r="B154" s="2" t="s">
        <v>2</v>
      </c>
      <c r="C154" s="2" t="s">
        <v>23</v>
      </c>
      <c r="D154" s="2" t="s">
        <v>734</v>
      </c>
      <c r="E154" s="2">
        <v>-12.0931</v>
      </c>
      <c r="F154" s="2">
        <v>-77.046499999999995</v>
      </c>
      <c r="G154" s="2" t="s">
        <v>737</v>
      </c>
      <c r="H154" s="2">
        <v>2024</v>
      </c>
      <c r="I154" s="2">
        <v>2.0077073941271202</v>
      </c>
      <c r="J154" s="2"/>
      <c r="K154" s="2"/>
      <c r="L154" s="2"/>
      <c r="M154" s="2"/>
      <c r="N154" s="2"/>
      <c r="O154" s="2"/>
      <c r="P154" s="2"/>
      <c r="Q154" s="2"/>
      <c r="R154" s="2"/>
      <c r="S154" s="16"/>
    </row>
    <row r="155" spans="1:19" x14ac:dyDescent="0.35">
      <c r="A155" s="15" t="s">
        <v>738</v>
      </c>
      <c r="B155" s="2" t="s">
        <v>48</v>
      </c>
      <c r="C155" s="2" t="s">
        <v>23</v>
      </c>
      <c r="D155" s="2" t="s">
        <v>739</v>
      </c>
      <c r="E155" s="2">
        <v>14.551500000000001</v>
      </c>
      <c r="F155" s="2">
        <v>121.035</v>
      </c>
      <c r="G155" s="2" t="s">
        <v>742</v>
      </c>
      <c r="H155" s="2">
        <v>2024</v>
      </c>
      <c r="I155" s="2">
        <v>3.21260487006347</v>
      </c>
      <c r="J155" s="2">
        <v>46.1</v>
      </c>
      <c r="K155" s="2">
        <v>12.2</v>
      </c>
      <c r="L155" s="2">
        <v>44.2</v>
      </c>
      <c r="M155" s="2">
        <v>44.5</v>
      </c>
      <c r="N155" s="2">
        <v>59.2</v>
      </c>
      <c r="O155" s="2">
        <v>1.38</v>
      </c>
      <c r="P155" s="2">
        <v>1.92</v>
      </c>
      <c r="Q155" s="2">
        <v>28.5</v>
      </c>
      <c r="R155" s="2">
        <v>280</v>
      </c>
      <c r="S155" s="16">
        <v>48</v>
      </c>
    </row>
    <row r="156" spans="1:19" hidden="1" x14ac:dyDescent="0.35">
      <c r="A156" s="15" t="s">
        <v>743</v>
      </c>
      <c r="B156" s="2" t="s">
        <v>48</v>
      </c>
      <c r="C156" s="2" t="s">
        <v>3</v>
      </c>
      <c r="D156" s="2" t="s">
        <v>744</v>
      </c>
      <c r="E156" s="2">
        <v>7.3419400000000001</v>
      </c>
      <c r="F156" s="2">
        <v>134.47900000000001</v>
      </c>
      <c r="G156" s="2" t="s">
        <v>747</v>
      </c>
      <c r="H156" s="2">
        <v>2024</v>
      </c>
      <c r="I156" s="2">
        <v>2.2317277292170399</v>
      </c>
      <c r="J156" s="2"/>
      <c r="K156" s="2"/>
      <c r="L156" s="2"/>
      <c r="M156" s="2"/>
      <c r="N156" s="2"/>
      <c r="O156" s="2"/>
      <c r="P156" s="2"/>
      <c r="Q156" s="2"/>
      <c r="R156" s="2"/>
      <c r="S156" s="16"/>
    </row>
    <row r="157" spans="1:19" hidden="1" x14ac:dyDescent="0.35">
      <c r="A157" s="15" t="s">
        <v>748</v>
      </c>
      <c r="B157" s="2" t="s">
        <v>48</v>
      </c>
      <c r="C157" s="2" t="s">
        <v>16</v>
      </c>
      <c r="D157" s="2" t="s">
        <v>749</v>
      </c>
      <c r="E157" s="2">
        <v>-9.4735700000000005</v>
      </c>
      <c r="F157" s="2">
        <v>147.19399999999999</v>
      </c>
      <c r="G157" s="2" t="s">
        <v>752</v>
      </c>
      <c r="H157" s="2">
        <v>2024</v>
      </c>
      <c r="I157" s="2">
        <v>0.60240392110791696</v>
      </c>
      <c r="J157" s="2"/>
      <c r="K157" s="2"/>
      <c r="L157" s="2"/>
      <c r="M157" s="2"/>
      <c r="N157" s="2"/>
      <c r="O157" s="2"/>
      <c r="P157" s="2"/>
      <c r="Q157" s="2"/>
      <c r="R157" s="2"/>
      <c r="S157" s="16"/>
    </row>
    <row r="158" spans="1:19" x14ac:dyDescent="0.35">
      <c r="A158" s="15" t="s">
        <v>753</v>
      </c>
      <c r="B158" s="2" t="s">
        <v>22</v>
      </c>
      <c r="C158" s="2" t="s">
        <v>3</v>
      </c>
      <c r="D158" s="2" t="s">
        <v>754</v>
      </c>
      <c r="E158" s="2">
        <v>52.26</v>
      </c>
      <c r="F158" s="2">
        <v>21.02</v>
      </c>
      <c r="G158" s="2" t="s">
        <v>757</v>
      </c>
      <c r="H158" s="2">
        <v>2024</v>
      </c>
      <c r="I158" s="2">
        <v>3.7906089763019701</v>
      </c>
      <c r="J158" s="2">
        <v>55.8</v>
      </c>
      <c r="K158" s="2">
        <v>18.600000000000001</v>
      </c>
      <c r="L158" s="2">
        <v>52.4</v>
      </c>
      <c r="M158" s="2">
        <v>53.8</v>
      </c>
      <c r="N158" s="2">
        <v>74.2</v>
      </c>
      <c r="O158" s="2">
        <v>2.25</v>
      </c>
      <c r="P158" s="2">
        <v>3.45</v>
      </c>
      <c r="Q158" s="2">
        <v>72.5</v>
      </c>
      <c r="R158" s="2">
        <v>450</v>
      </c>
      <c r="S158" s="16">
        <v>85</v>
      </c>
    </row>
    <row r="159" spans="1:19" hidden="1" x14ac:dyDescent="0.35">
      <c r="A159" s="15" t="s">
        <v>758</v>
      </c>
      <c r="B159" s="2" t="s">
        <v>2</v>
      </c>
      <c r="C159" s="2" t="s">
        <v>3</v>
      </c>
      <c r="D159" s="2" t="s">
        <v>759</v>
      </c>
      <c r="E159" s="2">
        <v>18.23</v>
      </c>
      <c r="F159" s="2">
        <v>-66</v>
      </c>
      <c r="G159" s="2"/>
      <c r="H159" s="2"/>
      <c r="I159" s="2"/>
      <c r="J159" s="2"/>
      <c r="K159" s="2"/>
      <c r="L159" s="2"/>
      <c r="M159" s="2"/>
      <c r="N159" s="2"/>
      <c r="O159" s="2"/>
      <c r="P159" s="2"/>
      <c r="Q159" s="2"/>
      <c r="R159" s="2"/>
      <c r="S159" s="16"/>
    </row>
    <row r="160" spans="1:19" hidden="1" x14ac:dyDescent="0.35">
      <c r="A160" s="15" t="s">
        <v>762</v>
      </c>
      <c r="B160" s="2" t="s">
        <v>48</v>
      </c>
      <c r="C160" s="2" t="s">
        <v>9</v>
      </c>
      <c r="D160" s="2" t="s">
        <v>763</v>
      </c>
      <c r="E160" s="2">
        <v>39.0319</v>
      </c>
      <c r="F160" s="2">
        <v>125.754</v>
      </c>
      <c r="G160" s="2"/>
      <c r="H160" s="2"/>
      <c r="I160" s="2"/>
      <c r="J160" s="2"/>
      <c r="K160" s="2"/>
      <c r="L160" s="2"/>
      <c r="M160" s="2"/>
      <c r="N160" s="2"/>
      <c r="O160" s="2"/>
      <c r="P160" s="2"/>
      <c r="Q160" s="2"/>
      <c r="R160" s="2"/>
      <c r="S160" s="16"/>
    </row>
    <row r="161" spans="1:19" x14ac:dyDescent="0.35">
      <c r="A161" s="15" t="s">
        <v>766</v>
      </c>
      <c r="B161" s="2" t="s">
        <v>22</v>
      </c>
      <c r="C161" s="2" t="s">
        <v>3</v>
      </c>
      <c r="D161" s="2" t="s">
        <v>767</v>
      </c>
      <c r="E161" s="2">
        <v>38.7072</v>
      </c>
      <c r="F161" s="2">
        <v>-9.1355199999999996</v>
      </c>
      <c r="G161" s="2" t="s">
        <v>770</v>
      </c>
      <c r="H161" s="2">
        <v>2024</v>
      </c>
      <c r="I161" s="2">
        <v>2.4161318779187599</v>
      </c>
      <c r="J161" s="2">
        <v>58.2</v>
      </c>
      <c r="K161" s="2">
        <v>20.5</v>
      </c>
      <c r="L161" s="2">
        <v>54.7</v>
      </c>
      <c r="M161" s="2">
        <v>56.2</v>
      </c>
      <c r="N161" s="2">
        <v>78.900000000000006</v>
      </c>
      <c r="O161" s="2">
        <v>2.4500000000000002</v>
      </c>
      <c r="P161" s="2">
        <v>3.85</v>
      </c>
      <c r="Q161" s="2">
        <v>85.4</v>
      </c>
      <c r="R161" s="2">
        <v>420</v>
      </c>
      <c r="S161" s="16">
        <v>80</v>
      </c>
    </row>
    <row r="162" spans="1:19" hidden="1" x14ac:dyDescent="0.35">
      <c r="A162" s="15" t="s">
        <v>771</v>
      </c>
      <c r="B162" s="2" t="s">
        <v>2</v>
      </c>
      <c r="C162" s="2" t="s">
        <v>23</v>
      </c>
      <c r="D162" s="2" t="s">
        <v>772</v>
      </c>
      <c r="E162" s="2">
        <v>-25.3005</v>
      </c>
      <c r="F162" s="2">
        <v>-57.636200000000002</v>
      </c>
      <c r="G162" s="2" t="s">
        <v>775</v>
      </c>
      <c r="H162" s="2">
        <v>2024</v>
      </c>
      <c r="I162" s="2">
        <v>3.83540271728533</v>
      </c>
      <c r="J162" s="2"/>
      <c r="K162" s="2"/>
      <c r="L162" s="2"/>
      <c r="M162" s="2"/>
      <c r="N162" s="2"/>
      <c r="O162" s="2"/>
      <c r="P162" s="2"/>
      <c r="Q162" s="2"/>
      <c r="R162" s="2"/>
      <c r="S162" s="16"/>
    </row>
    <row r="163" spans="1:19" hidden="1" x14ac:dyDescent="0.35">
      <c r="A163" s="15" t="s">
        <v>776</v>
      </c>
      <c r="B163" s="2" t="s">
        <v>8</v>
      </c>
      <c r="C163" s="2" t="s">
        <v>16</v>
      </c>
      <c r="D163" s="2"/>
      <c r="E163" s="2"/>
      <c r="F163" s="2"/>
      <c r="G163" s="2" t="s">
        <v>777</v>
      </c>
      <c r="H163" s="2">
        <v>2024</v>
      </c>
      <c r="I163" s="2">
        <v>53.669145830378199</v>
      </c>
      <c r="J163" s="2"/>
      <c r="K163" s="2"/>
      <c r="L163" s="2"/>
      <c r="M163" s="2"/>
      <c r="N163" s="2"/>
      <c r="O163" s="2"/>
      <c r="P163" s="2"/>
      <c r="Q163" s="2"/>
      <c r="R163" s="2"/>
      <c r="S163" s="16"/>
    </row>
    <row r="164" spans="1:19" hidden="1" x14ac:dyDescent="0.35">
      <c r="A164" s="15" t="s">
        <v>778</v>
      </c>
      <c r="B164" s="2" t="s">
        <v>48</v>
      </c>
      <c r="C164" s="2" t="s">
        <v>3</v>
      </c>
      <c r="D164" s="2" t="s">
        <v>779</v>
      </c>
      <c r="E164" s="2">
        <v>-17.535</v>
      </c>
      <c r="F164" s="2">
        <v>-149.57</v>
      </c>
      <c r="G164" s="2"/>
      <c r="H164" s="2"/>
      <c r="I164" s="2"/>
      <c r="J164" s="2"/>
      <c r="K164" s="2"/>
      <c r="L164" s="2"/>
      <c r="M164" s="2"/>
      <c r="N164" s="2"/>
      <c r="O164" s="2"/>
      <c r="P164" s="2"/>
      <c r="Q164" s="2"/>
      <c r="R164" s="2"/>
      <c r="S164" s="16"/>
    </row>
    <row r="165" spans="1:19" x14ac:dyDescent="0.35">
      <c r="A165" s="15" t="s">
        <v>782</v>
      </c>
      <c r="B165" s="2" t="s">
        <v>8</v>
      </c>
      <c r="C165" s="2" t="s">
        <v>3</v>
      </c>
      <c r="D165" s="2" t="s">
        <v>783</v>
      </c>
      <c r="E165" s="2">
        <v>25.294799999999999</v>
      </c>
      <c r="F165" s="2">
        <v>51.508200000000002</v>
      </c>
      <c r="G165" s="2" t="s">
        <v>786</v>
      </c>
      <c r="H165" s="2">
        <v>2024</v>
      </c>
      <c r="I165" s="2">
        <v>1.2673431029237501</v>
      </c>
      <c r="J165" s="2">
        <v>70.8</v>
      </c>
      <c r="K165" s="2">
        <v>31.5</v>
      </c>
      <c r="L165" s="2">
        <v>66.2</v>
      </c>
      <c r="M165" s="2">
        <v>68.5</v>
      </c>
      <c r="N165" s="2">
        <v>92.8</v>
      </c>
      <c r="O165" s="2"/>
      <c r="P165" s="2"/>
      <c r="Q165" s="2"/>
      <c r="R165" s="2">
        <v>900</v>
      </c>
      <c r="S165" s="16"/>
    </row>
    <row r="166" spans="1:19" hidden="1" x14ac:dyDescent="0.35">
      <c r="A166" s="15" t="s">
        <v>787</v>
      </c>
      <c r="B166" s="2" t="s">
        <v>22</v>
      </c>
      <c r="C166" s="2" t="s">
        <v>3</v>
      </c>
      <c r="D166" s="2" t="s">
        <v>788</v>
      </c>
      <c r="E166" s="2">
        <v>44.447899999999997</v>
      </c>
      <c r="F166" s="2">
        <v>26.097899999999999</v>
      </c>
      <c r="G166" s="2" t="s">
        <v>791</v>
      </c>
      <c r="H166" s="2">
        <v>2024</v>
      </c>
      <c r="I166" s="2">
        <v>5.7214057435443904</v>
      </c>
      <c r="J166" s="2"/>
      <c r="K166" s="2"/>
      <c r="L166" s="2"/>
      <c r="M166" s="2"/>
      <c r="N166" s="2"/>
      <c r="O166" s="2"/>
      <c r="P166" s="2"/>
      <c r="Q166" s="2"/>
      <c r="R166" s="2"/>
      <c r="S166" s="16"/>
    </row>
    <row r="167" spans="1:19" hidden="1" x14ac:dyDescent="0.35">
      <c r="A167" s="15" t="s">
        <v>792</v>
      </c>
      <c r="B167" s="2" t="s">
        <v>22</v>
      </c>
      <c r="C167" s="2" t="s">
        <v>3</v>
      </c>
      <c r="D167" s="2" t="s">
        <v>793</v>
      </c>
      <c r="E167" s="2">
        <v>55.755800000000001</v>
      </c>
      <c r="F167" s="2">
        <v>37.617600000000003</v>
      </c>
      <c r="G167" s="2" t="s">
        <v>796</v>
      </c>
      <c r="H167" s="2">
        <v>2024</v>
      </c>
      <c r="I167" s="2">
        <v>8.4348641049672306</v>
      </c>
      <c r="J167" s="2"/>
      <c r="K167" s="2"/>
      <c r="L167" s="2"/>
      <c r="M167" s="2"/>
      <c r="N167" s="2"/>
      <c r="O167" s="2"/>
      <c r="P167" s="2"/>
      <c r="Q167" s="2"/>
      <c r="R167" s="2"/>
      <c r="S167" s="16"/>
    </row>
    <row r="168" spans="1:19" hidden="1" x14ac:dyDescent="0.35">
      <c r="A168" s="15" t="s">
        <v>797</v>
      </c>
      <c r="B168" s="2" t="s">
        <v>15</v>
      </c>
      <c r="C168" s="2" t="s">
        <v>9</v>
      </c>
      <c r="D168" s="2" t="s">
        <v>798</v>
      </c>
      <c r="E168" s="2">
        <v>-1.9532499999999999</v>
      </c>
      <c r="F168" s="2">
        <v>30.058700000000002</v>
      </c>
      <c r="G168" s="2" t="s">
        <v>801</v>
      </c>
      <c r="H168" s="2">
        <v>2024</v>
      </c>
      <c r="I168" s="2">
        <v>1.77029240198635</v>
      </c>
      <c r="J168" s="2"/>
      <c r="K168" s="2"/>
      <c r="L168" s="2"/>
      <c r="M168" s="2"/>
      <c r="N168" s="2"/>
      <c r="O168" s="2"/>
      <c r="P168" s="2"/>
      <c r="Q168" s="2"/>
      <c r="R168" s="2"/>
      <c r="S168" s="16"/>
    </row>
    <row r="169" spans="1:19" x14ac:dyDescent="0.35">
      <c r="A169" s="15" t="s">
        <v>802</v>
      </c>
      <c r="B169" s="2" t="s">
        <v>8</v>
      </c>
      <c r="C169" s="2" t="s">
        <v>3</v>
      </c>
      <c r="D169" s="2" t="s">
        <v>803</v>
      </c>
      <c r="E169" s="2">
        <v>24.674800000000001</v>
      </c>
      <c r="F169" s="2">
        <v>46.697699999999998</v>
      </c>
      <c r="G169" s="2" t="s">
        <v>806</v>
      </c>
      <c r="H169" s="2">
        <v>2024</v>
      </c>
      <c r="I169" s="2">
        <v>1.68792112375809</v>
      </c>
      <c r="J169" s="2">
        <v>68.2</v>
      </c>
      <c r="K169" s="2">
        <v>28.4</v>
      </c>
      <c r="L169" s="2">
        <v>64.2</v>
      </c>
      <c r="M169" s="2">
        <v>66.099999999999994</v>
      </c>
      <c r="N169" s="2">
        <v>89.4</v>
      </c>
      <c r="O169" s="2"/>
      <c r="P169" s="2"/>
      <c r="Q169" s="2"/>
      <c r="R169" s="2">
        <v>750</v>
      </c>
      <c r="S169" s="16"/>
    </row>
    <row r="170" spans="1:19" hidden="1" x14ac:dyDescent="0.35">
      <c r="A170" s="15" t="s">
        <v>807</v>
      </c>
      <c r="B170" s="2" t="s">
        <v>15</v>
      </c>
      <c r="C170" s="2" t="s">
        <v>9</v>
      </c>
      <c r="D170" s="2" t="s">
        <v>808</v>
      </c>
      <c r="E170" s="2">
        <v>15.5932</v>
      </c>
      <c r="F170" s="2">
        <v>32.536299999999997</v>
      </c>
      <c r="G170" s="2" t="s">
        <v>811</v>
      </c>
      <c r="H170" s="2">
        <v>2022</v>
      </c>
      <c r="I170" s="2">
        <v>138.80846024176</v>
      </c>
      <c r="J170" s="2"/>
      <c r="K170" s="2"/>
      <c r="L170" s="2"/>
      <c r="M170" s="2"/>
      <c r="N170" s="2"/>
      <c r="O170" s="2"/>
      <c r="P170" s="2"/>
      <c r="Q170" s="2"/>
      <c r="R170" s="2"/>
      <c r="S170" s="16"/>
    </row>
    <row r="171" spans="1:19" hidden="1" x14ac:dyDescent="0.35">
      <c r="A171" s="15" t="s">
        <v>812</v>
      </c>
      <c r="B171" s="2" t="s">
        <v>15</v>
      </c>
      <c r="C171" s="2" t="s">
        <v>16</v>
      </c>
      <c r="D171" s="2" t="s">
        <v>813</v>
      </c>
      <c r="E171" s="2">
        <v>14.7247</v>
      </c>
      <c r="F171" s="2">
        <v>-17.473400000000002</v>
      </c>
      <c r="G171" s="2" t="s">
        <v>816</v>
      </c>
      <c r="H171" s="2">
        <v>2024</v>
      </c>
      <c r="I171" s="2">
        <v>0.80450329879243798</v>
      </c>
      <c r="J171" s="2"/>
      <c r="K171" s="2"/>
      <c r="L171" s="2"/>
      <c r="M171" s="2"/>
      <c r="N171" s="2"/>
      <c r="O171" s="2"/>
      <c r="P171" s="2"/>
      <c r="Q171" s="2"/>
      <c r="R171" s="2"/>
      <c r="S171" s="16"/>
    </row>
    <row r="172" spans="1:19" x14ac:dyDescent="0.35">
      <c r="A172" s="15" t="s">
        <v>817</v>
      </c>
      <c r="B172" s="2" t="s">
        <v>48</v>
      </c>
      <c r="C172" s="2" t="s">
        <v>3</v>
      </c>
      <c r="D172" s="2" t="s">
        <v>817</v>
      </c>
      <c r="E172" s="2">
        <v>1.2894099999999999</v>
      </c>
      <c r="F172" s="2">
        <v>103.85</v>
      </c>
      <c r="G172" s="2" t="s">
        <v>820</v>
      </c>
      <c r="H172" s="2">
        <v>2024</v>
      </c>
      <c r="I172" s="2">
        <v>2.3895112359501698</v>
      </c>
      <c r="J172" s="2">
        <v>80.900000000000006</v>
      </c>
      <c r="K172" s="2">
        <v>55.3</v>
      </c>
      <c r="L172" s="2">
        <v>70.099999999999994</v>
      </c>
      <c r="M172" s="2">
        <v>72.8</v>
      </c>
      <c r="N172" s="2">
        <v>95.2</v>
      </c>
      <c r="O172" s="2">
        <v>3.05</v>
      </c>
      <c r="P172" s="2"/>
      <c r="Q172" s="2"/>
      <c r="R172" s="2">
        <v>3167</v>
      </c>
      <c r="S172" s="16">
        <v>180</v>
      </c>
    </row>
    <row r="173" spans="1:19" hidden="1" x14ac:dyDescent="0.35">
      <c r="A173" s="15" t="s">
        <v>821</v>
      </c>
      <c r="B173" s="2" t="s">
        <v>48</v>
      </c>
      <c r="C173" s="2" t="s">
        <v>16</v>
      </c>
      <c r="D173" s="2" t="s">
        <v>822</v>
      </c>
      <c r="E173" s="2">
        <v>-9.4267599999999998</v>
      </c>
      <c r="F173" s="2">
        <v>159.94900000000001</v>
      </c>
      <c r="G173" s="2" t="s">
        <v>825</v>
      </c>
      <c r="H173" s="2">
        <v>2024</v>
      </c>
      <c r="I173" s="2">
        <v>4.3218394838803302</v>
      </c>
      <c r="J173" s="2"/>
      <c r="K173" s="2"/>
      <c r="L173" s="2"/>
      <c r="M173" s="2"/>
      <c r="N173" s="2"/>
      <c r="O173" s="2"/>
      <c r="P173" s="2"/>
      <c r="Q173" s="2"/>
      <c r="R173" s="2"/>
      <c r="S173" s="16"/>
    </row>
    <row r="174" spans="1:19" hidden="1" x14ac:dyDescent="0.35">
      <c r="A174" s="15" t="s">
        <v>826</v>
      </c>
      <c r="B174" s="2" t="s">
        <v>15</v>
      </c>
      <c r="C174" s="2" t="s">
        <v>9</v>
      </c>
      <c r="D174" s="2" t="s">
        <v>827</v>
      </c>
      <c r="E174" s="2">
        <v>8.4821000000000009</v>
      </c>
      <c r="F174" s="2">
        <v>-13.2134</v>
      </c>
      <c r="G174" s="2" t="s">
        <v>830</v>
      </c>
      <c r="H174" s="2">
        <v>2024</v>
      </c>
      <c r="I174" s="2">
        <v>28.633750001411499</v>
      </c>
      <c r="J174" s="2"/>
      <c r="K174" s="2"/>
      <c r="L174" s="2"/>
      <c r="M174" s="2"/>
      <c r="N174" s="2"/>
      <c r="O174" s="2"/>
      <c r="P174" s="2"/>
      <c r="Q174" s="2"/>
      <c r="R174" s="2"/>
      <c r="S174" s="16"/>
    </row>
    <row r="175" spans="1:19" hidden="1" x14ac:dyDescent="0.35">
      <c r="A175" s="15" t="s">
        <v>831</v>
      </c>
      <c r="B175" s="2" t="s">
        <v>2</v>
      </c>
      <c r="C175" s="2" t="s">
        <v>23</v>
      </c>
      <c r="D175" s="2" t="s">
        <v>832</v>
      </c>
      <c r="E175" s="2">
        <v>13.7034</v>
      </c>
      <c r="F175" s="2">
        <v>-89.207300000000004</v>
      </c>
      <c r="G175" s="2" t="s">
        <v>835</v>
      </c>
      <c r="H175" s="2">
        <v>2024</v>
      </c>
      <c r="I175" s="2">
        <v>0.85378229256728799</v>
      </c>
      <c r="J175" s="2"/>
      <c r="K175" s="2"/>
      <c r="L175" s="2"/>
      <c r="M175" s="2"/>
      <c r="N175" s="2"/>
      <c r="O175" s="2"/>
      <c r="P175" s="2"/>
      <c r="Q175" s="2"/>
      <c r="R175" s="2"/>
      <c r="S175" s="16"/>
    </row>
    <row r="176" spans="1:19" hidden="1" x14ac:dyDescent="0.35">
      <c r="A176" s="15" t="s">
        <v>836</v>
      </c>
      <c r="B176" s="2" t="s">
        <v>22</v>
      </c>
      <c r="C176" s="2" t="s">
        <v>3</v>
      </c>
      <c r="D176" s="2" t="s">
        <v>836</v>
      </c>
      <c r="E176" s="2">
        <v>43.932200000000002</v>
      </c>
      <c r="F176" s="2">
        <v>12.448600000000001</v>
      </c>
      <c r="G176" s="2" t="s">
        <v>839</v>
      </c>
      <c r="H176" s="2">
        <v>2024</v>
      </c>
      <c r="I176" s="2">
        <v>1.24216507945569</v>
      </c>
      <c r="J176" s="2"/>
      <c r="K176" s="2"/>
      <c r="L176" s="2"/>
      <c r="M176" s="2"/>
      <c r="N176" s="2"/>
      <c r="O176" s="2"/>
      <c r="P176" s="2"/>
      <c r="Q176" s="2"/>
      <c r="R176" s="2"/>
      <c r="S176" s="16"/>
    </row>
    <row r="177" spans="1:19" hidden="1" x14ac:dyDescent="0.35">
      <c r="A177" s="15" t="s">
        <v>840</v>
      </c>
      <c r="B177" s="2" t="s">
        <v>15</v>
      </c>
      <c r="C177" s="2" t="s">
        <v>9</v>
      </c>
      <c r="D177" s="2" t="s">
        <v>841</v>
      </c>
      <c r="E177" s="2">
        <v>2.0751499999999998</v>
      </c>
      <c r="F177" s="2">
        <v>45.325400000000002</v>
      </c>
      <c r="G177" s="2"/>
      <c r="H177" s="2"/>
      <c r="I177" s="2"/>
      <c r="J177" s="2"/>
      <c r="K177" s="2"/>
      <c r="L177" s="2"/>
      <c r="M177" s="2"/>
      <c r="N177" s="2"/>
      <c r="O177" s="2"/>
      <c r="P177" s="2"/>
      <c r="Q177" s="2"/>
      <c r="R177" s="2"/>
      <c r="S177" s="16"/>
    </row>
    <row r="178" spans="1:19" hidden="1" x14ac:dyDescent="0.35">
      <c r="A178" s="15" t="s">
        <v>844</v>
      </c>
      <c r="B178" s="2" t="s">
        <v>22</v>
      </c>
      <c r="C178" s="2" t="s">
        <v>23</v>
      </c>
      <c r="D178" s="2" t="s">
        <v>845</v>
      </c>
      <c r="E178" s="2">
        <v>44.802399999999999</v>
      </c>
      <c r="F178" s="2">
        <v>20.465599999999998</v>
      </c>
      <c r="G178" s="2" t="s">
        <v>848</v>
      </c>
      <c r="H178" s="2">
        <v>2024</v>
      </c>
      <c r="I178" s="2">
        <v>4.6705297488996997</v>
      </c>
      <c r="J178" s="2"/>
      <c r="K178" s="2"/>
      <c r="L178" s="2"/>
      <c r="M178" s="2"/>
      <c r="N178" s="2"/>
      <c r="O178" s="2"/>
      <c r="P178" s="2"/>
      <c r="Q178" s="2"/>
      <c r="R178" s="2"/>
      <c r="S178" s="16"/>
    </row>
    <row r="179" spans="1:19" hidden="1" x14ac:dyDescent="0.35">
      <c r="A179" s="15" t="s">
        <v>849</v>
      </c>
      <c r="B179" s="2" t="s">
        <v>15</v>
      </c>
      <c r="C179" s="2" t="s">
        <v>9</v>
      </c>
      <c r="D179" s="2" t="s">
        <v>850</v>
      </c>
      <c r="E179" s="2">
        <v>4.8499999999999996</v>
      </c>
      <c r="F179" s="2">
        <v>31.6</v>
      </c>
      <c r="G179" s="2" t="s">
        <v>853</v>
      </c>
      <c r="H179" s="2">
        <v>2024</v>
      </c>
      <c r="I179" s="2">
        <v>91.440822076904595</v>
      </c>
      <c r="J179" s="2"/>
      <c r="K179" s="2"/>
      <c r="L179" s="2"/>
      <c r="M179" s="2"/>
      <c r="N179" s="2"/>
      <c r="O179" s="2"/>
      <c r="P179" s="2"/>
      <c r="Q179" s="2"/>
      <c r="R179" s="2"/>
      <c r="S179" s="16"/>
    </row>
    <row r="180" spans="1:19" hidden="1" x14ac:dyDescent="0.35">
      <c r="A180" s="15" t="s">
        <v>854</v>
      </c>
      <c r="B180" s="2" t="s">
        <v>15</v>
      </c>
      <c r="C180" s="2" t="s">
        <v>16</v>
      </c>
      <c r="D180" s="2" t="s">
        <v>855</v>
      </c>
      <c r="E180" s="2">
        <v>0.20618</v>
      </c>
      <c r="F180" s="2">
        <v>6.6071</v>
      </c>
      <c r="G180" s="2" t="s">
        <v>858</v>
      </c>
      <c r="H180" s="2">
        <v>2024</v>
      </c>
      <c r="I180" s="2">
        <v>14.3519273571008</v>
      </c>
      <c r="J180" s="2"/>
      <c r="K180" s="2"/>
      <c r="L180" s="2"/>
      <c r="M180" s="2"/>
      <c r="N180" s="2"/>
      <c r="O180" s="2"/>
      <c r="P180" s="2"/>
      <c r="Q180" s="2"/>
      <c r="R180" s="2"/>
      <c r="S180" s="16"/>
    </row>
    <row r="181" spans="1:19" hidden="1" x14ac:dyDescent="0.35">
      <c r="A181" s="15" t="s">
        <v>859</v>
      </c>
      <c r="B181" s="2" t="s">
        <v>2</v>
      </c>
      <c r="C181" s="2" t="s">
        <v>23</v>
      </c>
      <c r="D181" s="2" t="s">
        <v>860</v>
      </c>
      <c r="E181" s="2">
        <v>5.8231999999999999</v>
      </c>
      <c r="F181" s="2">
        <v>-55.167900000000003</v>
      </c>
      <c r="G181" s="2" t="s">
        <v>863</v>
      </c>
      <c r="H181" s="2">
        <v>2024</v>
      </c>
      <c r="I181" s="2">
        <v>16.229615913027899</v>
      </c>
      <c r="J181" s="2"/>
      <c r="K181" s="2"/>
      <c r="L181" s="2"/>
      <c r="M181" s="2"/>
      <c r="N181" s="2"/>
      <c r="O181" s="2"/>
      <c r="P181" s="2"/>
      <c r="Q181" s="2"/>
      <c r="R181" s="2"/>
      <c r="S181" s="16"/>
    </row>
    <row r="182" spans="1:19" hidden="1" x14ac:dyDescent="0.35">
      <c r="A182" s="15" t="s">
        <v>864</v>
      </c>
      <c r="B182" s="2" t="s">
        <v>22</v>
      </c>
      <c r="C182" s="2" t="s">
        <v>3</v>
      </c>
      <c r="D182" s="2" t="s">
        <v>865</v>
      </c>
      <c r="E182" s="2">
        <v>48.148400000000002</v>
      </c>
      <c r="F182" s="2">
        <v>17.107299999999999</v>
      </c>
      <c r="G182" s="2" t="s">
        <v>868</v>
      </c>
      <c r="H182" s="2">
        <v>2024</v>
      </c>
      <c r="I182" s="2">
        <v>2.75760909424279</v>
      </c>
      <c r="J182" s="2"/>
      <c r="K182" s="2"/>
      <c r="L182" s="2"/>
      <c r="M182" s="2"/>
      <c r="N182" s="2"/>
      <c r="O182" s="2"/>
      <c r="P182" s="2"/>
      <c r="Q182" s="2"/>
      <c r="R182" s="2"/>
      <c r="S182" s="16"/>
    </row>
    <row r="183" spans="1:19" hidden="1" x14ac:dyDescent="0.35">
      <c r="A183" s="15" t="s">
        <v>869</v>
      </c>
      <c r="B183" s="2" t="s">
        <v>22</v>
      </c>
      <c r="C183" s="2" t="s">
        <v>3</v>
      </c>
      <c r="D183" s="2" t="s">
        <v>870</v>
      </c>
      <c r="E183" s="2">
        <v>46.054600000000001</v>
      </c>
      <c r="F183" s="2">
        <v>14.5044</v>
      </c>
      <c r="G183" s="2" t="s">
        <v>873</v>
      </c>
      <c r="H183" s="2">
        <v>2024</v>
      </c>
      <c r="I183" s="2">
        <v>1.9656265643250499</v>
      </c>
      <c r="J183" s="2"/>
      <c r="K183" s="2"/>
      <c r="L183" s="2"/>
      <c r="M183" s="2"/>
      <c r="N183" s="2"/>
      <c r="O183" s="2"/>
      <c r="P183" s="2"/>
      <c r="Q183" s="2"/>
      <c r="R183" s="2"/>
      <c r="S183" s="16"/>
    </row>
    <row r="184" spans="1:19" hidden="1" x14ac:dyDescent="0.35">
      <c r="A184" s="15" t="s">
        <v>874</v>
      </c>
      <c r="B184" s="2" t="s">
        <v>22</v>
      </c>
      <c r="C184" s="2" t="s">
        <v>3</v>
      </c>
      <c r="D184" s="2" t="s">
        <v>875</v>
      </c>
      <c r="E184" s="2">
        <v>59.332700000000003</v>
      </c>
      <c r="F184" s="2">
        <v>18.064499999999999</v>
      </c>
      <c r="G184" s="2" t="s">
        <v>878</v>
      </c>
      <c r="H184" s="2">
        <v>2024</v>
      </c>
      <c r="I184" s="2">
        <v>2.8358165822403398</v>
      </c>
      <c r="J184" s="2"/>
      <c r="K184" s="2"/>
      <c r="L184" s="2"/>
      <c r="M184" s="2"/>
      <c r="N184" s="2"/>
      <c r="O184" s="2"/>
      <c r="P184" s="2">
        <v>5.28</v>
      </c>
      <c r="Q184" s="2">
        <v>122.4</v>
      </c>
      <c r="R184" s="2"/>
      <c r="S184" s="16"/>
    </row>
    <row r="185" spans="1:19" hidden="1" x14ac:dyDescent="0.35">
      <c r="A185" s="15" t="s">
        <v>879</v>
      </c>
      <c r="B185" s="2" t="s">
        <v>15</v>
      </c>
      <c r="C185" s="2" t="s">
        <v>16</v>
      </c>
      <c r="D185" s="2" t="s">
        <v>880</v>
      </c>
      <c r="E185" s="2">
        <v>-26.522500000000001</v>
      </c>
      <c r="F185" s="2">
        <v>31.465900000000001</v>
      </c>
      <c r="G185" s="2"/>
      <c r="H185" s="2"/>
      <c r="I185" s="2"/>
      <c r="J185" s="2"/>
      <c r="K185" s="2"/>
      <c r="L185" s="2"/>
      <c r="M185" s="2"/>
      <c r="N185" s="2"/>
      <c r="O185" s="2"/>
      <c r="P185" s="2"/>
      <c r="Q185" s="2"/>
      <c r="R185" s="2"/>
      <c r="S185" s="16"/>
    </row>
    <row r="186" spans="1:19" hidden="1" x14ac:dyDescent="0.35">
      <c r="A186" s="15" t="s">
        <v>883</v>
      </c>
      <c r="B186" s="2" t="s">
        <v>2</v>
      </c>
      <c r="C186" s="2" t="s">
        <v>3</v>
      </c>
      <c r="D186" s="2" t="s">
        <v>884</v>
      </c>
      <c r="E186" s="2"/>
      <c r="F186" s="2"/>
      <c r="G186" s="2"/>
      <c r="H186" s="2"/>
      <c r="I186" s="2"/>
      <c r="J186" s="2"/>
      <c r="K186" s="2"/>
      <c r="L186" s="2"/>
      <c r="M186" s="2"/>
      <c r="N186" s="2"/>
      <c r="O186" s="2"/>
      <c r="P186" s="2"/>
      <c r="Q186" s="2"/>
      <c r="R186" s="2"/>
      <c r="S186" s="16"/>
    </row>
    <row r="187" spans="1:19" hidden="1" x14ac:dyDescent="0.35">
      <c r="A187" s="15" t="s">
        <v>885</v>
      </c>
      <c r="B187" s="2" t="s">
        <v>15</v>
      </c>
      <c r="C187" s="2" t="s">
        <v>3</v>
      </c>
      <c r="D187" s="2" t="s">
        <v>886</v>
      </c>
      <c r="E187" s="2">
        <v>-4.6308999999999996</v>
      </c>
      <c r="F187" s="2">
        <v>55.446599999999997</v>
      </c>
      <c r="G187" s="2" t="s">
        <v>889</v>
      </c>
      <c r="H187" s="2">
        <v>2024</v>
      </c>
      <c r="I187" s="2">
        <v>0.31172605091966799</v>
      </c>
      <c r="J187" s="2"/>
      <c r="K187" s="2"/>
      <c r="L187" s="2"/>
      <c r="M187" s="2"/>
      <c r="N187" s="2"/>
      <c r="O187" s="2"/>
      <c r="P187" s="2"/>
      <c r="Q187" s="2"/>
      <c r="R187" s="2"/>
      <c r="S187" s="16"/>
    </row>
    <row r="188" spans="1:19" hidden="1" x14ac:dyDescent="0.35">
      <c r="A188" s="15" t="s">
        <v>890</v>
      </c>
      <c r="B188" s="2" t="s">
        <v>8</v>
      </c>
      <c r="C188" s="2" t="s">
        <v>9</v>
      </c>
      <c r="D188" s="2" t="s">
        <v>891</v>
      </c>
      <c r="E188" s="2">
        <v>33.514600000000002</v>
      </c>
      <c r="F188" s="2">
        <v>36.311900000000001</v>
      </c>
      <c r="G188" s="2"/>
      <c r="H188" s="2"/>
      <c r="I188" s="2"/>
      <c r="J188" s="2"/>
      <c r="K188" s="2"/>
      <c r="L188" s="2"/>
      <c r="M188" s="2"/>
      <c r="N188" s="2"/>
      <c r="O188" s="2"/>
      <c r="P188" s="2"/>
      <c r="Q188" s="2"/>
      <c r="R188" s="2"/>
      <c r="S188" s="16"/>
    </row>
    <row r="189" spans="1:19" hidden="1" x14ac:dyDescent="0.35">
      <c r="A189" s="15" t="s">
        <v>894</v>
      </c>
      <c r="B189" s="2" t="s">
        <v>2</v>
      </c>
      <c r="C189" s="2" t="s">
        <v>3</v>
      </c>
      <c r="D189" s="2" t="s">
        <v>895</v>
      </c>
      <c r="E189" s="2">
        <v>21.4602778</v>
      </c>
      <c r="F189" s="2">
        <v>-71.141389000000004</v>
      </c>
      <c r="G189" s="2"/>
      <c r="H189" s="2"/>
      <c r="I189" s="2"/>
      <c r="J189" s="2"/>
      <c r="K189" s="2"/>
      <c r="L189" s="2"/>
      <c r="M189" s="2"/>
      <c r="N189" s="2"/>
      <c r="O189" s="2"/>
      <c r="P189" s="2"/>
      <c r="Q189" s="2"/>
      <c r="R189" s="2"/>
      <c r="S189" s="16"/>
    </row>
    <row r="190" spans="1:19" hidden="1" x14ac:dyDescent="0.35">
      <c r="A190" s="15" t="s">
        <v>898</v>
      </c>
      <c r="B190" s="2" t="s">
        <v>15</v>
      </c>
      <c r="C190" s="2" t="s">
        <v>9</v>
      </c>
      <c r="D190" s="2" t="s">
        <v>899</v>
      </c>
      <c r="E190" s="2">
        <v>12.104799999999999</v>
      </c>
      <c r="F190" s="2">
        <v>15.044499999999999</v>
      </c>
      <c r="G190" s="2" t="s">
        <v>902</v>
      </c>
      <c r="H190" s="2">
        <v>2024</v>
      </c>
      <c r="I190" s="2">
        <v>8.8995073226375396</v>
      </c>
      <c r="J190" s="2"/>
      <c r="K190" s="2"/>
      <c r="L190" s="2"/>
      <c r="M190" s="2"/>
      <c r="N190" s="2"/>
      <c r="O190" s="2">
        <v>0.36</v>
      </c>
      <c r="P190" s="2"/>
      <c r="Q190" s="2"/>
      <c r="R190" s="2"/>
      <c r="S190" s="16"/>
    </row>
    <row r="191" spans="1:19" hidden="1" x14ac:dyDescent="0.35">
      <c r="A191" s="15" t="s">
        <v>903</v>
      </c>
      <c r="B191" s="2" t="s">
        <v>15</v>
      </c>
      <c r="C191" s="2" t="s">
        <v>16</v>
      </c>
      <c r="D191" s="2" t="s">
        <v>904</v>
      </c>
      <c r="E191" s="2">
        <v>6.1227999999999998</v>
      </c>
      <c r="F191" s="2">
        <v>1.2255</v>
      </c>
      <c r="G191" s="2" t="s">
        <v>907</v>
      </c>
      <c r="H191" s="2">
        <v>2024</v>
      </c>
      <c r="I191" s="2">
        <v>2.8626207408980102</v>
      </c>
      <c r="J191" s="2"/>
      <c r="K191" s="2"/>
      <c r="L191" s="2"/>
      <c r="M191" s="2"/>
      <c r="N191" s="2"/>
      <c r="O191" s="2"/>
      <c r="P191" s="2"/>
      <c r="Q191" s="2"/>
      <c r="R191" s="2"/>
      <c r="S191" s="16"/>
    </row>
    <row r="192" spans="1:19" x14ac:dyDescent="0.35">
      <c r="A192" s="15" t="s">
        <v>908</v>
      </c>
      <c r="B192" s="2" t="s">
        <v>48</v>
      </c>
      <c r="C192" s="2" t="s">
        <v>23</v>
      </c>
      <c r="D192" s="2" t="s">
        <v>909</v>
      </c>
      <c r="E192" s="2">
        <v>13.7308</v>
      </c>
      <c r="F192" s="2">
        <v>100.521</v>
      </c>
      <c r="G192" s="2" t="s">
        <v>912</v>
      </c>
      <c r="H192" s="2">
        <v>2024</v>
      </c>
      <c r="I192" s="2">
        <v>0.39833333333342202</v>
      </c>
      <c r="J192" s="2">
        <v>55.2</v>
      </c>
      <c r="K192" s="2">
        <v>18.2</v>
      </c>
      <c r="L192" s="2">
        <v>52.4</v>
      </c>
      <c r="M192" s="2">
        <v>53.2</v>
      </c>
      <c r="N192" s="2">
        <v>72.8</v>
      </c>
      <c r="O192" s="2"/>
      <c r="P192" s="2"/>
      <c r="Q192" s="2"/>
      <c r="R192" s="2">
        <v>350</v>
      </c>
      <c r="S192" s="16"/>
    </row>
    <row r="193" spans="1:19" hidden="1" x14ac:dyDescent="0.35">
      <c r="A193" s="15" t="s">
        <v>913</v>
      </c>
      <c r="B193" s="2" t="s">
        <v>22</v>
      </c>
      <c r="C193" s="2" t="s">
        <v>16</v>
      </c>
      <c r="D193" s="2" t="s">
        <v>914</v>
      </c>
      <c r="E193" s="2">
        <v>38.587800000000001</v>
      </c>
      <c r="F193" s="2">
        <v>68.7864</v>
      </c>
      <c r="G193" s="2"/>
      <c r="H193" s="2"/>
      <c r="I193" s="2"/>
      <c r="J193" s="2"/>
      <c r="K193" s="2"/>
      <c r="L193" s="2"/>
      <c r="M193" s="2"/>
      <c r="N193" s="2"/>
      <c r="O193" s="2"/>
      <c r="P193" s="2"/>
      <c r="Q193" s="2"/>
      <c r="R193" s="2"/>
      <c r="S193" s="16"/>
    </row>
    <row r="194" spans="1:19" hidden="1" x14ac:dyDescent="0.35">
      <c r="A194" s="15" t="s">
        <v>917</v>
      </c>
      <c r="B194" s="2" t="s">
        <v>22</v>
      </c>
      <c r="C194" s="2" t="s">
        <v>23</v>
      </c>
      <c r="D194" s="2" t="s">
        <v>918</v>
      </c>
      <c r="E194" s="2">
        <v>37.950899999999997</v>
      </c>
      <c r="F194" s="2">
        <v>58.379399999999997</v>
      </c>
      <c r="G194" s="2"/>
      <c r="H194" s="2"/>
      <c r="I194" s="2"/>
      <c r="J194" s="2"/>
      <c r="K194" s="2"/>
      <c r="L194" s="2"/>
      <c r="M194" s="2"/>
      <c r="N194" s="2"/>
      <c r="O194" s="2"/>
      <c r="P194" s="2"/>
      <c r="Q194" s="2"/>
      <c r="R194" s="2"/>
      <c r="S194" s="16"/>
    </row>
    <row r="195" spans="1:19" hidden="1" x14ac:dyDescent="0.35">
      <c r="A195" s="15" t="s">
        <v>921</v>
      </c>
      <c r="B195" s="2" t="s">
        <v>48</v>
      </c>
      <c r="C195" s="2" t="s">
        <v>16</v>
      </c>
      <c r="D195" s="2" t="s">
        <v>922</v>
      </c>
      <c r="E195" s="2">
        <v>-8.5666700000000002</v>
      </c>
      <c r="F195" s="2">
        <v>125.56699999999999</v>
      </c>
      <c r="G195" s="2" t="s">
        <v>925</v>
      </c>
      <c r="H195" s="2">
        <v>2024</v>
      </c>
      <c r="I195" s="2">
        <v>2.0628415300546799</v>
      </c>
      <c r="J195" s="2"/>
      <c r="K195" s="2"/>
      <c r="L195" s="2"/>
      <c r="M195" s="2"/>
      <c r="N195" s="2"/>
      <c r="O195" s="2"/>
      <c r="P195" s="2"/>
      <c r="Q195" s="2"/>
      <c r="R195" s="2"/>
      <c r="S195" s="16"/>
    </row>
    <row r="196" spans="1:19" hidden="1" x14ac:dyDescent="0.35">
      <c r="A196" s="15" t="s">
        <v>926</v>
      </c>
      <c r="B196" s="2" t="s">
        <v>48</v>
      </c>
      <c r="C196" s="2" t="s">
        <v>23</v>
      </c>
      <c r="D196" s="2" t="s">
        <v>927</v>
      </c>
      <c r="E196" s="2">
        <v>-21.135999999999999</v>
      </c>
      <c r="F196" s="2">
        <v>-175.21600000000001</v>
      </c>
      <c r="G196" s="2" t="s">
        <v>930</v>
      </c>
      <c r="H196" s="2">
        <v>2024</v>
      </c>
      <c r="I196" s="2">
        <v>3.1818892423747198</v>
      </c>
      <c r="J196" s="2"/>
      <c r="K196" s="2"/>
      <c r="L196" s="2"/>
      <c r="M196" s="2"/>
      <c r="N196" s="2"/>
      <c r="O196" s="2"/>
      <c r="P196" s="2"/>
      <c r="Q196" s="2"/>
      <c r="R196" s="2"/>
      <c r="S196" s="16"/>
    </row>
    <row r="197" spans="1:19" hidden="1" x14ac:dyDescent="0.35">
      <c r="A197" s="15" t="s">
        <v>931</v>
      </c>
      <c r="B197" s="2" t="s">
        <v>2</v>
      </c>
      <c r="C197" s="2" t="s">
        <v>3</v>
      </c>
      <c r="D197" s="2" t="s">
        <v>932</v>
      </c>
      <c r="E197" s="2">
        <v>10.659599999999999</v>
      </c>
      <c r="F197" s="2">
        <v>-61.478900000000003</v>
      </c>
      <c r="G197" s="2" t="s">
        <v>935</v>
      </c>
      <c r="H197" s="2">
        <v>2024</v>
      </c>
      <c r="I197" s="2">
        <v>0.52688462577683903</v>
      </c>
      <c r="J197" s="2"/>
      <c r="K197" s="2"/>
      <c r="L197" s="2"/>
      <c r="M197" s="2"/>
      <c r="N197" s="2"/>
      <c r="O197" s="2"/>
      <c r="P197" s="2"/>
      <c r="Q197" s="2"/>
      <c r="R197" s="2"/>
      <c r="S197" s="16"/>
    </row>
    <row r="198" spans="1:19" hidden="1" x14ac:dyDescent="0.35">
      <c r="A198" s="15" t="s">
        <v>936</v>
      </c>
      <c r="B198" s="2" t="s">
        <v>8</v>
      </c>
      <c r="C198" s="2" t="s">
        <v>16</v>
      </c>
      <c r="D198" s="2" t="s">
        <v>937</v>
      </c>
      <c r="E198" s="2">
        <v>36.789900000000003</v>
      </c>
      <c r="F198" s="2">
        <v>10.210000000000001</v>
      </c>
      <c r="G198" s="2" t="s">
        <v>940</v>
      </c>
      <c r="H198" s="2">
        <v>2024</v>
      </c>
      <c r="I198" s="2">
        <v>7.20661657168794</v>
      </c>
      <c r="J198" s="2"/>
      <c r="K198" s="2"/>
      <c r="L198" s="2"/>
      <c r="M198" s="2"/>
      <c r="N198" s="2"/>
      <c r="O198" s="2"/>
      <c r="P198" s="2"/>
      <c r="Q198" s="2"/>
      <c r="R198" s="2"/>
      <c r="S198" s="16"/>
    </row>
    <row r="199" spans="1:19" hidden="1" x14ac:dyDescent="0.35">
      <c r="A199" s="15" t="s">
        <v>941</v>
      </c>
      <c r="B199" s="2" t="s">
        <v>22</v>
      </c>
      <c r="C199" s="2" t="s">
        <v>23</v>
      </c>
      <c r="D199" s="2" t="s">
        <v>942</v>
      </c>
      <c r="E199" s="2">
        <v>39.715299999999999</v>
      </c>
      <c r="F199" s="2">
        <v>32.360599999999998</v>
      </c>
      <c r="G199" s="2" t="s">
        <v>945</v>
      </c>
      <c r="H199" s="2">
        <v>2024</v>
      </c>
      <c r="I199" s="2">
        <v>58.506450730034203</v>
      </c>
      <c r="J199" s="2"/>
      <c r="K199" s="2"/>
      <c r="L199" s="2"/>
      <c r="M199" s="2"/>
      <c r="N199" s="2"/>
      <c r="O199" s="2"/>
      <c r="P199" s="2"/>
      <c r="Q199" s="2"/>
      <c r="R199" s="2"/>
      <c r="S199" s="16"/>
    </row>
    <row r="200" spans="1:19" hidden="1" x14ac:dyDescent="0.35">
      <c r="A200" s="15" t="s">
        <v>946</v>
      </c>
      <c r="B200" s="2" t="s">
        <v>48</v>
      </c>
      <c r="C200" s="2" t="s">
        <v>23</v>
      </c>
      <c r="D200" s="2" t="s">
        <v>947</v>
      </c>
      <c r="E200" s="2">
        <v>-8.6314876999999992</v>
      </c>
      <c r="F200" s="2">
        <v>179.08956699999999</v>
      </c>
      <c r="G200" s="2"/>
      <c r="H200" s="2"/>
      <c r="I200" s="2"/>
      <c r="J200" s="2"/>
      <c r="K200" s="2"/>
      <c r="L200" s="2"/>
      <c r="M200" s="2"/>
      <c r="N200" s="2"/>
      <c r="O200" s="2"/>
      <c r="P200" s="2"/>
      <c r="Q200" s="2"/>
      <c r="R200" s="2"/>
      <c r="S200" s="16"/>
    </row>
    <row r="201" spans="1:19" hidden="1" x14ac:dyDescent="0.35">
      <c r="A201" s="15" t="s">
        <v>950</v>
      </c>
      <c r="B201" s="2" t="s">
        <v>15</v>
      </c>
      <c r="C201" s="2" t="s">
        <v>16</v>
      </c>
      <c r="D201" s="2" t="s">
        <v>951</v>
      </c>
      <c r="E201" s="2">
        <v>-6.1748599999999998</v>
      </c>
      <c r="F201" s="2">
        <v>35.738199999999999</v>
      </c>
      <c r="G201" s="2" t="s">
        <v>954</v>
      </c>
      <c r="H201" s="2">
        <v>2024</v>
      </c>
      <c r="I201" s="2">
        <v>3.0569467631237299</v>
      </c>
      <c r="J201" s="2"/>
      <c r="K201" s="2"/>
      <c r="L201" s="2"/>
      <c r="M201" s="2"/>
      <c r="N201" s="2"/>
      <c r="O201" s="2"/>
      <c r="P201" s="2"/>
      <c r="Q201" s="2"/>
      <c r="R201" s="2"/>
      <c r="S201" s="16"/>
    </row>
    <row r="202" spans="1:19" hidden="1" x14ac:dyDescent="0.35">
      <c r="A202" s="15" t="s">
        <v>955</v>
      </c>
      <c r="B202" s="2" t="s">
        <v>15</v>
      </c>
      <c r="C202" s="2" t="s">
        <v>9</v>
      </c>
      <c r="D202" s="2" t="s">
        <v>956</v>
      </c>
      <c r="E202" s="2">
        <v>0.31426900000000002</v>
      </c>
      <c r="F202" s="2">
        <v>32.572899999999997</v>
      </c>
      <c r="G202" s="2" t="s">
        <v>959</v>
      </c>
      <c r="H202" s="2">
        <v>2024</v>
      </c>
      <c r="I202" s="2">
        <v>3.32338033691819</v>
      </c>
      <c r="J202" s="2"/>
      <c r="K202" s="2"/>
      <c r="L202" s="2"/>
      <c r="M202" s="2"/>
      <c r="N202" s="2"/>
      <c r="O202" s="2"/>
      <c r="P202" s="2"/>
      <c r="Q202" s="2"/>
      <c r="R202" s="2"/>
      <c r="S202" s="16"/>
    </row>
    <row r="203" spans="1:19" hidden="1" x14ac:dyDescent="0.35">
      <c r="A203" s="15" t="s">
        <v>960</v>
      </c>
      <c r="B203" s="2" t="s">
        <v>22</v>
      </c>
      <c r="C203" s="2" t="s">
        <v>23</v>
      </c>
      <c r="D203" s="2" t="s">
        <v>961</v>
      </c>
      <c r="E203" s="2">
        <v>50.453600000000002</v>
      </c>
      <c r="F203" s="2">
        <v>30.503799999999998</v>
      </c>
      <c r="G203" s="2" t="s">
        <v>964</v>
      </c>
      <c r="H203" s="2">
        <v>2024</v>
      </c>
      <c r="I203" s="2">
        <v>6.5019846466925397</v>
      </c>
      <c r="J203" s="2"/>
      <c r="K203" s="2"/>
      <c r="L203" s="2"/>
      <c r="M203" s="2"/>
      <c r="N203" s="2"/>
      <c r="O203" s="2"/>
      <c r="P203" s="2"/>
      <c r="Q203" s="2"/>
      <c r="R203" s="2"/>
      <c r="S203" s="16"/>
    </row>
    <row r="204" spans="1:19" hidden="1" x14ac:dyDescent="0.35">
      <c r="A204" s="15" t="s">
        <v>965</v>
      </c>
      <c r="B204" s="2" t="s">
        <v>2</v>
      </c>
      <c r="C204" s="2" t="s">
        <v>3</v>
      </c>
      <c r="D204" s="2" t="s">
        <v>966</v>
      </c>
      <c r="E204" s="2">
        <v>-34.894100000000002</v>
      </c>
      <c r="F204" s="2">
        <v>-56.067500000000003</v>
      </c>
      <c r="G204" s="2" t="s">
        <v>969</v>
      </c>
      <c r="H204" s="2">
        <v>2024</v>
      </c>
      <c r="I204" s="2">
        <v>4.8491436661315603</v>
      </c>
      <c r="J204" s="2"/>
      <c r="K204" s="2"/>
      <c r="L204" s="2"/>
      <c r="M204" s="2"/>
      <c r="N204" s="2"/>
      <c r="O204" s="2"/>
      <c r="P204" s="2"/>
      <c r="Q204" s="2"/>
      <c r="R204" s="2"/>
      <c r="S204" s="16"/>
    </row>
    <row r="205" spans="1:19" x14ac:dyDescent="0.35">
      <c r="A205" s="15" t="s">
        <v>970</v>
      </c>
      <c r="B205" s="2" t="s">
        <v>129</v>
      </c>
      <c r="C205" s="2" t="s">
        <v>3</v>
      </c>
      <c r="D205" s="2" t="s">
        <v>971</v>
      </c>
      <c r="E205" s="2">
        <v>38.889499999999998</v>
      </c>
      <c r="F205" s="2">
        <v>-77.031999999999996</v>
      </c>
      <c r="G205" s="2" t="s">
        <v>974</v>
      </c>
      <c r="H205" s="2">
        <v>2024</v>
      </c>
      <c r="I205" s="2">
        <v>2.9495252048520699</v>
      </c>
      <c r="J205" s="2">
        <v>74.3</v>
      </c>
      <c r="K205" s="2">
        <v>35.200000000000003</v>
      </c>
      <c r="L205" s="2">
        <v>68.5</v>
      </c>
      <c r="M205" s="2">
        <v>70.2</v>
      </c>
      <c r="N205" s="2">
        <v>100</v>
      </c>
      <c r="O205" s="2">
        <v>3.65</v>
      </c>
      <c r="P205" s="2"/>
      <c r="Q205" s="2"/>
      <c r="R205" s="2">
        <v>1603</v>
      </c>
      <c r="S205" s="16">
        <v>150</v>
      </c>
    </row>
    <row r="206" spans="1:19" hidden="1" x14ac:dyDescent="0.35">
      <c r="A206" s="15" t="s">
        <v>975</v>
      </c>
      <c r="B206" s="2" t="s">
        <v>22</v>
      </c>
      <c r="C206" s="2" t="s">
        <v>16</v>
      </c>
      <c r="D206" s="2" t="s">
        <v>976</v>
      </c>
      <c r="E206" s="2">
        <v>41.305199999999999</v>
      </c>
      <c r="F206" s="2">
        <v>69.269000000000005</v>
      </c>
      <c r="G206" s="2" t="s">
        <v>979</v>
      </c>
      <c r="H206" s="2">
        <v>2024</v>
      </c>
      <c r="I206" s="2">
        <v>9.6282546595668208</v>
      </c>
      <c r="J206" s="2"/>
      <c r="K206" s="2"/>
      <c r="L206" s="2"/>
      <c r="M206" s="2"/>
      <c r="N206" s="2"/>
      <c r="O206" s="2">
        <v>0.4</v>
      </c>
      <c r="P206" s="2"/>
      <c r="Q206" s="2"/>
      <c r="R206" s="2"/>
      <c r="S206" s="16"/>
    </row>
    <row r="207" spans="1:19" hidden="1" x14ac:dyDescent="0.35">
      <c r="A207" s="15" t="s">
        <v>980</v>
      </c>
      <c r="B207" s="2" t="s">
        <v>2</v>
      </c>
      <c r="C207" s="2" t="s">
        <v>23</v>
      </c>
      <c r="D207" s="2" t="s">
        <v>981</v>
      </c>
      <c r="E207" s="2">
        <v>13.2035</v>
      </c>
      <c r="F207" s="2">
        <v>-61.265300000000003</v>
      </c>
      <c r="G207" s="2" t="s">
        <v>984</v>
      </c>
      <c r="H207" s="2">
        <v>2024</v>
      </c>
      <c r="I207" s="2">
        <v>3.6277073694092699</v>
      </c>
      <c r="J207" s="2"/>
      <c r="K207" s="2"/>
      <c r="L207" s="2"/>
      <c r="M207" s="2"/>
      <c r="N207" s="2"/>
      <c r="O207" s="2"/>
      <c r="P207" s="2"/>
      <c r="Q207" s="2"/>
      <c r="R207" s="2"/>
      <c r="S207" s="16"/>
    </row>
    <row r="208" spans="1:19" hidden="1" x14ac:dyDescent="0.35">
      <c r="A208" s="15" t="s">
        <v>985</v>
      </c>
      <c r="B208" s="2" t="s">
        <v>2</v>
      </c>
      <c r="C208" s="2" t="s">
        <v>16</v>
      </c>
      <c r="D208" s="2" t="s">
        <v>986</v>
      </c>
      <c r="E208" s="2">
        <v>9.0816499999999998</v>
      </c>
      <c r="F208" s="2">
        <v>-69.837100000000007</v>
      </c>
      <c r="G208" s="2"/>
      <c r="H208" s="2"/>
      <c r="I208" s="2"/>
      <c r="J208" s="2"/>
      <c r="K208" s="2"/>
      <c r="L208" s="2"/>
      <c r="M208" s="2"/>
      <c r="N208" s="2"/>
      <c r="O208" s="2"/>
      <c r="P208" s="2"/>
      <c r="Q208" s="2"/>
      <c r="R208" s="2"/>
      <c r="S208" s="16"/>
    </row>
    <row r="209" spans="1:19" hidden="1" x14ac:dyDescent="0.35">
      <c r="A209" s="15" t="s">
        <v>989</v>
      </c>
      <c r="B209" s="2" t="s">
        <v>2</v>
      </c>
      <c r="C209" s="2" t="s">
        <v>3</v>
      </c>
      <c r="D209" s="2" t="s">
        <v>990</v>
      </c>
      <c r="E209" s="2">
        <v>18.431388999999999</v>
      </c>
      <c r="F209" s="2">
        <v>-64.623056000000005</v>
      </c>
      <c r="G209" s="2"/>
      <c r="H209" s="2"/>
      <c r="I209" s="2"/>
      <c r="J209" s="2"/>
      <c r="K209" s="2"/>
      <c r="L209" s="2"/>
      <c r="M209" s="2"/>
      <c r="N209" s="2"/>
      <c r="O209" s="2"/>
      <c r="P209" s="2"/>
      <c r="Q209" s="2"/>
      <c r="R209" s="2"/>
      <c r="S209" s="16"/>
    </row>
    <row r="210" spans="1:19" hidden="1" x14ac:dyDescent="0.35">
      <c r="A210" s="15" t="s">
        <v>993</v>
      </c>
      <c r="B210" s="2" t="s">
        <v>2</v>
      </c>
      <c r="C210" s="2" t="s">
        <v>3</v>
      </c>
      <c r="D210" s="2" t="s">
        <v>994</v>
      </c>
      <c r="E210" s="2">
        <v>18.335799999999999</v>
      </c>
      <c r="F210" s="2">
        <v>-64.896299999999997</v>
      </c>
      <c r="G210" s="2"/>
      <c r="H210" s="2"/>
      <c r="I210" s="2"/>
      <c r="J210" s="2"/>
      <c r="K210" s="2"/>
      <c r="L210" s="2"/>
      <c r="M210" s="2"/>
      <c r="N210" s="2"/>
      <c r="O210" s="2"/>
      <c r="P210" s="2"/>
      <c r="Q210" s="2"/>
      <c r="R210" s="2"/>
      <c r="S210" s="16"/>
    </row>
    <row r="211" spans="1:19" hidden="1" x14ac:dyDescent="0.35">
      <c r="A211" s="15" t="s">
        <v>997</v>
      </c>
      <c r="B211" s="2" t="s">
        <v>48</v>
      </c>
      <c r="C211" s="2" t="s">
        <v>23</v>
      </c>
      <c r="D211" s="2" t="s">
        <v>998</v>
      </c>
      <c r="E211" s="2">
        <v>21.006900000000002</v>
      </c>
      <c r="F211" s="2">
        <v>105.825</v>
      </c>
      <c r="G211" s="2" t="s">
        <v>1001</v>
      </c>
      <c r="H211" s="2">
        <v>2024</v>
      </c>
      <c r="I211" s="2">
        <v>3.6210927388584402</v>
      </c>
      <c r="J211" s="2"/>
      <c r="K211" s="2"/>
      <c r="L211" s="2"/>
      <c r="M211" s="2"/>
      <c r="N211" s="2"/>
      <c r="O211" s="2"/>
      <c r="P211" s="2"/>
      <c r="Q211" s="2"/>
      <c r="R211" s="2"/>
      <c r="S211" s="16"/>
    </row>
    <row r="212" spans="1:19" hidden="1" x14ac:dyDescent="0.35">
      <c r="A212" s="15" t="s">
        <v>1002</v>
      </c>
      <c r="B212" s="2" t="s">
        <v>48</v>
      </c>
      <c r="C212" s="2" t="s">
        <v>16</v>
      </c>
      <c r="D212" s="2" t="s">
        <v>1003</v>
      </c>
      <c r="E212" s="2">
        <v>-17.740400000000001</v>
      </c>
      <c r="F212" s="2">
        <v>168.321</v>
      </c>
      <c r="G212" s="2" t="s">
        <v>1006</v>
      </c>
      <c r="H212" s="2">
        <v>2024</v>
      </c>
      <c r="I212" s="2">
        <v>1.1434894872741199</v>
      </c>
      <c r="J212" s="2"/>
      <c r="K212" s="2"/>
      <c r="L212" s="2"/>
      <c r="M212" s="2"/>
      <c r="N212" s="2"/>
      <c r="O212" s="2"/>
      <c r="P212" s="2"/>
      <c r="Q212" s="2"/>
      <c r="R212" s="2"/>
      <c r="S212" s="16"/>
    </row>
    <row r="213" spans="1:19" hidden="1" x14ac:dyDescent="0.35">
      <c r="A213" s="15" t="s">
        <v>1007</v>
      </c>
      <c r="B213" s="2" t="s">
        <v>48</v>
      </c>
      <c r="C213" s="2" t="s">
        <v>23</v>
      </c>
      <c r="D213" s="2" t="s">
        <v>1008</v>
      </c>
      <c r="E213" s="2">
        <v>-13.8314</v>
      </c>
      <c r="F213" s="2">
        <v>-171.75200000000001</v>
      </c>
      <c r="G213" s="2" t="s">
        <v>1011</v>
      </c>
      <c r="H213" s="2">
        <v>2024</v>
      </c>
      <c r="I213" s="2">
        <v>2.1724553051437701</v>
      </c>
      <c r="J213" s="2"/>
      <c r="K213" s="2"/>
      <c r="L213" s="2"/>
      <c r="M213" s="2"/>
      <c r="N213" s="2"/>
      <c r="O213" s="2"/>
      <c r="P213" s="2"/>
      <c r="Q213" s="2"/>
      <c r="R213" s="2"/>
      <c r="S213" s="16"/>
    </row>
    <row r="214" spans="1:19" hidden="1" x14ac:dyDescent="0.35">
      <c r="A214" s="15" t="s">
        <v>1012</v>
      </c>
      <c r="B214" s="2" t="s">
        <v>22</v>
      </c>
      <c r="C214" s="2" t="s">
        <v>23</v>
      </c>
      <c r="D214" s="2" t="s">
        <v>1013</v>
      </c>
      <c r="E214" s="2">
        <v>42.564999999999998</v>
      </c>
      <c r="F214" s="2">
        <v>20.925999999999998</v>
      </c>
      <c r="G214" s="2" t="s">
        <v>1016</v>
      </c>
      <c r="H214" s="2">
        <v>2024</v>
      </c>
      <c r="I214" s="2">
        <v>1.61944994559476</v>
      </c>
      <c r="J214" s="2"/>
      <c r="K214" s="2"/>
      <c r="L214" s="2"/>
      <c r="M214" s="2"/>
      <c r="N214" s="2"/>
      <c r="O214" s="2"/>
      <c r="P214" s="2"/>
      <c r="Q214" s="2"/>
      <c r="R214" s="2"/>
      <c r="S214" s="16"/>
    </row>
    <row r="215" spans="1:19" hidden="1" x14ac:dyDescent="0.35">
      <c r="A215" s="15" t="s">
        <v>1017</v>
      </c>
      <c r="B215" s="2" t="s">
        <v>8</v>
      </c>
      <c r="C215" s="2" t="s">
        <v>9</v>
      </c>
      <c r="D215" s="2" t="s">
        <v>1018</v>
      </c>
      <c r="E215" s="2">
        <v>15.352</v>
      </c>
      <c r="F215" s="2">
        <v>44.207500000000003</v>
      </c>
      <c r="G215" s="2"/>
      <c r="H215" s="2"/>
      <c r="I215" s="2"/>
      <c r="J215" s="2"/>
      <c r="K215" s="2"/>
      <c r="L215" s="2"/>
      <c r="M215" s="2"/>
      <c r="N215" s="2"/>
      <c r="O215" s="2"/>
      <c r="P215" s="2"/>
      <c r="Q215" s="2"/>
      <c r="R215" s="2"/>
      <c r="S215" s="16"/>
    </row>
    <row r="216" spans="1:19" x14ac:dyDescent="0.35">
      <c r="A216" s="15" t="s">
        <v>1021</v>
      </c>
      <c r="B216" s="2" t="s">
        <v>15</v>
      </c>
      <c r="C216" s="2" t="s">
        <v>23</v>
      </c>
      <c r="D216" s="2" t="s">
        <v>1022</v>
      </c>
      <c r="E216" s="2">
        <v>-25.745999999999999</v>
      </c>
      <c r="F216" s="2">
        <v>28.187100000000001</v>
      </c>
      <c r="G216" s="2" t="s">
        <v>1025</v>
      </c>
      <c r="H216" s="2">
        <v>2024</v>
      </c>
      <c r="I216" s="2">
        <v>4.3611524651896199</v>
      </c>
      <c r="J216" s="2">
        <v>50.2</v>
      </c>
      <c r="K216" s="2">
        <v>15.2</v>
      </c>
      <c r="L216" s="2">
        <v>48.5</v>
      </c>
      <c r="M216" s="2">
        <v>49.3</v>
      </c>
      <c r="N216" s="2">
        <v>65.8</v>
      </c>
      <c r="O216" s="2">
        <v>1.78</v>
      </c>
      <c r="P216" s="2">
        <v>2.68</v>
      </c>
      <c r="Q216" s="2">
        <v>48.5</v>
      </c>
      <c r="R216" s="2">
        <v>320</v>
      </c>
      <c r="S216" s="16">
        <v>60</v>
      </c>
    </row>
    <row r="217" spans="1:19" hidden="1" x14ac:dyDescent="0.35">
      <c r="A217" s="15" t="s">
        <v>1026</v>
      </c>
      <c r="B217" s="2" t="s">
        <v>15</v>
      </c>
      <c r="C217" s="2" t="s">
        <v>16</v>
      </c>
      <c r="D217" s="2" t="s">
        <v>1027</v>
      </c>
      <c r="E217" s="2">
        <v>-15.398199999999999</v>
      </c>
      <c r="F217" s="2">
        <v>28.293700000000001</v>
      </c>
      <c r="G217" s="2" t="s">
        <v>1030</v>
      </c>
      <c r="H217" s="2">
        <v>2024</v>
      </c>
      <c r="I217" s="2">
        <v>14.9856262747939</v>
      </c>
      <c r="J217" s="2"/>
      <c r="K217" s="2"/>
      <c r="L217" s="2"/>
      <c r="M217" s="2"/>
      <c r="N217" s="2"/>
      <c r="O217" s="2"/>
      <c r="P217" s="2"/>
      <c r="Q217" s="2"/>
      <c r="R217" s="2"/>
      <c r="S217" s="16"/>
    </row>
    <row r="218" spans="1:19" hidden="1" x14ac:dyDescent="0.35">
      <c r="A218" s="17" t="s">
        <v>1031</v>
      </c>
      <c r="B218" s="18" t="s">
        <v>15</v>
      </c>
      <c r="C218" s="18" t="s">
        <v>16</v>
      </c>
      <c r="D218" s="18" t="s">
        <v>1032</v>
      </c>
      <c r="E218" s="18">
        <v>-17.831199999999999</v>
      </c>
      <c r="F218" s="18">
        <v>31.0672</v>
      </c>
      <c r="G218" s="18" t="s">
        <v>1035</v>
      </c>
      <c r="H218" s="18">
        <v>2022</v>
      </c>
      <c r="I218" s="18">
        <v>104.70517062866701</v>
      </c>
      <c r="J218" s="18"/>
      <c r="K218" s="18"/>
      <c r="L218" s="18"/>
      <c r="M218" s="18"/>
      <c r="N218" s="18"/>
      <c r="O218" s="18"/>
      <c r="P218" s="18"/>
      <c r="Q218" s="18"/>
      <c r="R218" s="18"/>
      <c r="S218" s="19"/>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8A67-C154-4BC7-873F-6708E5D24431}">
  <dimension ref="A2:U38"/>
  <sheetViews>
    <sheetView workbookViewId="0">
      <selection activeCell="I5" sqref="I5"/>
    </sheetView>
  </sheetViews>
  <sheetFormatPr defaultRowHeight="14.5" x14ac:dyDescent="0.35"/>
  <sheetData>
    <row r="2" spans="1:21" ht="20" x14ac:dyDescent="0.4">
      <c r="A2" s="39"/>
      <c r="B2" s="39"/>
      <c r="C2" s="40" t="s">
        <v>1170</v>
      </c>
      <c r="D2" s="39"/>
      <c r="E2" s="39"/>
      <c r="F2" s="39"/>
      <c r="G2" s="39"/>
      <c r="H2" s="39"/>
      <c r="I2" s="39"/>
      <c r="J2" s="39"/>
      <c r="K2" s="39"/>
      <c r="L2" s="39"/>
      <c r="M2" s="39"/>
      <c r="N2" s="39"/>
      <c r="O2" s="39"/>
      <c r="P2" s="39"/>
      <c r="Q2" s="39"/>
      <c r="R2" s="39"/>
      <c r="S2" s="39"/>
      <c r="T2" s="39"/>
      <c r="U2" s="39"/>
    </row>
    <row r="3" spans="1:21" ht="17.5" x14ac:dyDescent="0.35">
      <c r="A3" s="41" t="s">
        <v>1171</v>
      </c>
      <c r="B3" s="33"/>
      <c r="C3" s="33"/>
      <c r="D3" s="33"/>
      <c r="E3" s="33"/>
      <c r="F3" s="33"/>
      <c r="G3" s="33"/>
      <c r="H3" s="33"/>
      <c r="I3" s="33"/>
      <c r="J3" s="33"/>
      <c r="K3" s="33"/>
      <c r="L3" s="33"/>
      <c r="M3" s="33"/>
      <c r="N3" s="33"/>
      <c r="O3" s="33"/>
      <c r="P3" s="33"/>
      <c r="Q3" s="33"/>
      <c r="R3" s="33"/>
      <c r="S3" s="33"/>
      <c r="T3" s="33"/>
      <c r="U3" s="33"/>
    </row>
    <row r="4" spans="1:21" ht="15.5" x14ac:dyDescent="0.35">
      <c r="A4" s="11" t="s">
        <v>1174</v>
      </c>
    </row>
    <row r="5" spans="1:21" ht="15.5" x14ac:dyDescent="0.35">
      <c r="A5" s="11" t="s">
        <v>1177</v>
      </c>
    </row>
    <row r="6" spans="1:21" ht="15.5" x14ac:dyDescent="0.35">
      <c r="A6" s="11" t="s">
        <v>1176</v>
      </c>
    </row>
    <row r="7" spans="1:21" ht="15.5" x14ac:dyDescent="0.35">
      <c r="A7" s="11" t="s">
        <v>1175</v>
      </c>
    </row>
    <row r="9" spans="1:21" ht="15.5" x14ac:dyDescent="0.35">
      <c r="A9" s="11" t="s">
        <v>1172</v>
      </c>
    </row>
    <row r="10" spans="1:21" ht="15.5" x14ac:dyDescent="0.35">
      <c r="A10" s="11" t="s">
        <v>1173</v>
      </c>
    </row>
    <row r="13" spans="1:21" ht="17.5" x14ac:dyDescent="0.35">
      <c r="A13" s="42" t="s">
        <v>1179</v>
      </c>
      <c r="B13" s="43"/>
      <c r="C13" s="43"/>
      <c r="D13" s="43"/>
      <c r="E13" s="43"/>
      <c r="F13" s="43"/>
      <c r="G13" s="43"/>
      <c r="H13" s="43"/>
      <c r="I13" s="43"/>
      <c r="J13" s="43"/>
      <c r="K13" s="43"/>
      <c r="L13" s="43"/>
      <c r="M13" s="43"/>
      <c r="N13" s="43"/>
      <c r="O13" s="43"/>
      <c r="P13" s="43"/>
      <c r="Q13" s="43"/>
      <c r="R13" s="43"/>
      <c r="S13" s="43"/>
      <c r="T13" s="43"/>
      <c r="U13" s="43"/>
    </row>
    <row r="14" spans="1:21" ht="20" customHeight="1" x14ac:dyDescent="0.35">
      <c r="A14" s="11" t="s">
        <v>1182</v>
      </c>
    </row>
    <row r="15" spans="1:21" ht="20" customHeight="1" x14ac:dyDescent="0.35">
      <c r="A15" s="11" t="s">
        <v>1183</v>
      </c>
    </row>
    <row r="16" spans="1:21" ht="20" customHeight="1" x14ac:dyDescent="0.35">
      <c r="A16" s="11" t="s">
        <v>1184</v>
      </c>
    </row>
    <row r="17" spans="1:21" ht="20" customHeight="1" x14ac:dyDescent="0.35">
      <c r="A17" s="11" t="s">
        <v>1185</v>
      </c>
    </row>
    <row r="18" spans="1:21" ht="20" customHeight="1" x14ac:dyDescent="0.35">
      <c r="A18" s="11" t="s">
        <v>1188</v>
      </c>
    </row>
    <row r="19" spans="1:21" ht="20" customHeight="1" x14ac:dyDescent="0.35">
      <c r="A19" s="11" t="s">
        <v>1186</v>
      </c>
    </row>
    <row r="20" spans="1:21" ht="20" customHeight="1" x14ac:dyDescent="0.35">
      <c r="A20" s="11" t="s">
        <v>1187</v>
      </c>
    </row>
    <row r="21" spans="1:21" ht="20" customHeight="1" x14ac:dyDescent="0.35">
      <c r="A21" s="37" t="s">
        <v>1189</v>
      </c>
    </row>
    <row r="22" spans="1:21" ht="20" customHeight="1" x14ac:dyDescent="0.35">
      <c r="A22" s="37" t="s">
        <v>1181</v>
      </c>
    </row>
    <row r="23" spans="1:21" ht="20" customHeight="1" x14ac:dyDescent="0.35">
      <c r="A23" s="37" t="s">
        <v>1190</v>
      </c>
    </row>
    <row r="24" spans="1:21" ht="20" customHeight="1" x14ac:dyDescent="0.35">
      <c r="A24" s="37" t="s">
        <v>1167</v>
      </c>
    </row>
    <row r="27" spans="1:21" ht="17.5" x14ac:dyDescent="0.35">
      <c r="A27" s="42" t="s">
        <v>1191</v>
      </c>
      <c r="B27" s="43"/>
      <c r="C27" s="43"/>
      <c r="D27" s="43"/>
      <c r="E27" s="43"/>
      <c r="F27" s="43"/>
      <c r="G27" s="43"/>
      <c r="H27" s="43"/>
      <c r="I27" s="43"/>
      <c r="J27" s="43"/>
      <c r="K27" s="43"/>
      <c r="L27" s="43"/>
      <c r="M27" s="43"/>
      <c r="N27" s="43"/>
      <c r="O27" s="43"/>
      <c r="P27" s="43"/>
      <c r="Q27" s="43"/>
      <c r="R27" s="43"/>
      <c r="S27" s="43"/>
      <c r="T27" s="43"/>
      <c r="U27" s="43"/>
    </row>
    <row r="28" spans="1:21" ht="20" customHeight="1" x14ac:dyDescent="0.35">
      <c r="A28" s="11" t="s">
        <v>1196</v>
      </c>
      <c r="B28" s="11"/>
      <c r="C28" s="11"/>
      <c r="D28" s="11"/>
      <c r="E28" s="11"/>
      <c r="F28" s="11"/>
      <c r="G28" s="11"/>
      <c r="H28" s="11"/>
      <c r="I28" s="11"/>
      <c r="J28" s="11"/>
      <c r="K28" s="11"/>
      <c r="L28" s="11"/>
      <c r="M28" s="11"/>
      <c r="N28" s="11"/>
      <c r="O28" s="11"/>
      <c r="P28" s="11"/>
      <c r="Q28" s="11"/>
      <c r="R28" s="11"/>
      <c r="S28" s="11"/>
    </row>
    <row r="29" spans="1:21" ht="20" customHeight="1" x14ac:dyDescent="0.35">
      <c r="A29" s="11" t="s">
        <v>1197</v>
      </c>
      <c r="B29" s="11"/>
      <c r="C29" s="11"/>
      <c r="D29" s="11"/>
      <c r="E29" s="11"/>
      <c r="F29" s="11"/>
      <c r="G29" s="11"/>
      <c r="H29" s="11"/>
      <c r="I29" s="11"/>
      <c r="J29" s="11"/>
      <c r="K29" s="11"/>
      <c r="L29" s="11"/>
      <c r="M29" s="11"/>
      <c r="N29" s="11"/>
      <c r="O29" s="11"/>
      <c r="P29" s="11"/>
      <c r="Q29" s="11"/>
      <c r="R29" s="11"/>
      <c r="S29" s="11"/>
    </row>
    <row r="30" spans="1:21" ht="20" customHeight="1" x14ac:dyDescent="0.35">
      <c r="A30" s="11" t="s">
        <v>1198</v>
      </c>
      <c r="B30" s="11"/>
      <c r="C30" s="11"/>
      <c r="D30" s="11"/>
      <c r="E30" s="11"/>
      <c r="F30" s="11"/>
      <c r="G30" s="11"/>
      <c r="H30" s="11"/>
      <c r="I30" s="11"/>
      <c r="J30" s="11"/>
      <c r="K30" s="11"/>
      <c r="L30" s="11"/>
      <c r="M30" s="11"/>
      <c r="N30" s="11"/>
      <c r="O30" s="11"/>
      <c r="P30" s="11"/>
      <c r="Q30" s="11"/>
      <c r="R30" s="11"/>
      <c r="S30" s="11"/>
    </row>
    <row r="31" spans="1:21" ht="20" customHeight="1" x14ac:dyDescent="0.35">
      <c r="A31" s="11" t="s">
        <v>1199</v>
      </c>
      <c r="B31" s="11"/>
      <c r="C31" s="11"/>
      <c r="D31" s="11"/>
      <c r="E31" s="11"/>
      <c r="F31" s="11"/>
      <c r="G31" s="11"/>
      <c r="H31" s="11"/>
      <c r="I31" s="11"/>
      <c r="J31" s="11"/>
      <c r="K31" s="11"/>
      <c r="L31" s="11"/>
      <c r="M31" s="11"/>
      <c r="N31" s="11"/>
      <c r="O31" s="11"/>
      <c r="P31" s="11"/>
      <c r="Q31" s="11"/>
      <c r="R31" s="11"/>
      <c r="S31" s="11"/>
    </row>
    <row r="32" spans="1:21" ht="20" customHeight="1" x14ac:dyDescent="0.35">
      <c r="A32" s="37" t="s">
        <v>1200</v>
      </c>
      <c r="B32" s="11"/>
      <c r="C32" s="11"/>
      <c r="D32" s="11"/>
      <c r="E32" s="11"/>
      <c r="F32" s="11"/>
      <c r="G32" s="11"/>
      <c r="H32" s="11"/>
      <c r="I32" s="11"/>
      <c r="J32" s="11"/>
      <c r="K32" s="11"/>
      <c r="L32" s="11"/>
      <c r="M32" s="11"/>
      <c r="N32" s="11"/>
      <c r="O32" s="11"/>
      <c r="P32" s="11"/>
      <c r="Q32" s="11"/>
      <c r="R32" s="11"/>
      <c r="S32" s="11"/>
    </row>
    <row r="33" spans="1:19" ht="20" customHeight="1" x14ac:dyDescent="0.35">
      <c r="A33" s="37" t="s">
        <v>1201</v>
      </c>
      <c r="B33" s="11"/>
      <c r="C33" s="11"/>
      <c r="D33" s="11"/>
      <c r="E33" s="11"/>
      <c r="F33" s="11"/>
      <c r="G33" s="11"/>
      <c r="H33" s="11"/>
      <c r="I33" s="11"/>
      <c r="J33" s="11"/>
      <c r="K33" s="11"/>
      <c r="L33" s="11"/>
      <c r="M33" s="11"/>
      <c r="N33" s="11"/>
      <c r="O33" s="11"/>
      <c r="P33" s="11"/>
      <c r="Q33" s="11"/>
      <c r="R33" s="11"/>
      <c r="S33" s="11"/>
    </row>
    <row r="34" spans="1:19" ht="20" customHeight="1" x14ac:dyDescent="0.35">
      <c r="A34" s="11" t="s">
        <v>1203</v>
      </c>
      <c r="B34" s="11"/>
      <c r="C34" s="11"/>
      <c r="D34" s="11"/>
      <c r="E34" s="11"/>
      <c r="F34" s="11"/>
      <c r="G34" s="11"/>
      <c r="H34" s="11"/>
      <c r="I34" s="11"/>
      <c r="J34" s="11"/>
      <c r="K34" s="11"/>
      <c r="L34" s="11"/>
      <c r="M34" s="11"/>
      <c r="N34" s="11"/>
      <c r="O34" s="11"/>
      <c r="P34" s="11"/>
      <c r="Q34" s="11"/>
      <c r="R34" s="11"/>
      <c r="S34" s="11"/>
    </row>
    <row r="35" spans="1:19" ht="20" customHeight="1" x14ac:dyDescent="0.35">
      <c r="A35" s="37" t="s">
        <v>1202</v>
      </c>
      <c r="B35" s="11"/>
      <c r="C35" s="11"/>
      <c r="D35" s="11"/>
      <c r="E35" s="11"/>
      <c r="F35" s="11"/>
      <c r="G35" s="11"/>
      <c r="H35" s="11"/>
      <c r="I35" s="11"/>
      <c r="J35" s="11"/>
      <c r="K35" s="11"/>
      <c r="L35" s="11"/>
      <c r="M35" s="11"/>
      <c r="N35" s="11"/>
      <c r="O35" s="11"/>
      <c r="P35" s="11"/>
      <c r="Q35" s="11"/>
      <c r="R35" s="11"/>
      <c r="S35" s="11"/>
    </row>
    <row r="36" spans="1:19" ht="20" customHeight="1" x14ac:dyDescent="0.35">
      <c r="A36" s="11" t="s">
        <v>1159</v>
      </c>
      <c r="B36" s="11"/>
      <c r="C36" s="11"/>
      <c r="D36" s="11"/>
      <c r="E36" s="11"/>
      <c r="F36" s="11"/>
      <c r="G36" s="11"/>
      <c r="H36" s="11"/>
      <c r="I36" s="11"/>
      <c r="J36" s="11"/>
      <c r="K36" s="11"/>
      <c r="L36" s="11"/>
      <c r="M36" s="11"/>
      <c r="N36" s="11"/>
      <c r="O36" s="11"/>
      <c r="P36" s="11"/>
      <c r="Q36" s="11"/>
      <c r="R36" s="11"/>
      <c r="S36" s="11"/>
    </row>
    <row r="37" spans="1:19" ht="20" customHeight="1" x14ac:dyDescent="0.35">
      <c r="A37" s="11" t="s">
        <v>1204</v>
      </c>
      <c r="B37" s="11"/>
      <c r="C37" s="11"/>
      <c r="D37" s="11"/>
      <c r="E37" s="11"/>
      <c r="F37" s="11"/>
      <c r="G37" s="11"/>
      <c r="H37" s="11"/>
      <c r="I37" s="11"/>
      <c r="J37" s="11"/>
      <c r="K37" s="11"/>
      <c r="L37" s="11"/>
      <c r="M37" s="11"/>
      <c r="N37" s="11"/>
      <c r="O37" s="11"/>
      <c r="P37" s="11"/>
      <c r="Q37" s="11"/>
      <c r="R37" s="11"/>
      <c r="S37" s="11"/>
    </row>
    <row r="38" spans="1:19" ht="20" customHeight="1" x14ac:dyDescent="0.35">
      <c r="A38" s="11" t="s">
        <v>1195</v>
      </c>
      <c r="B38" s="11"/>
      <c r="C38" s="11"/>
      <c r="D38" s="11"/>
      <c r="E38" s="11"/>
      <c r="F38" s="11"/>
      <c r="G38" s="11"/>
      <c r="H38" s="11"/>
      <c r="I38" s="11"/>
      <c r="J38" s="11"/>
      <c r="K38" s="11"/>
      <c r="L38" s="11"/>
      <c r="M38" s="11"/>
      <c r="N38" s="11"/>
      <c r="O38" s="11"/>
      <c r="P38" s="11"/>
      <c r="Q38" s="11"/>
      <c r="R38" s="11"/>
      <c r="S38"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E79A-D89E-4F18-99E2-01E52DC95601}">
  <dimension ref="A1"/>
  <sheetViews>
    <sheetView topLeftCell="A43" workbookViewId="0">
      <selection activeCell="K56" sqref="K56"/>
    </sheetView>
  </sheetViews>
  <sheetFormatPr defaultRowHeight="14.5" x14ac:dyDescent="0.35"/>
  <sheetData>
    <row r="1" spans="1:1" x14ac:dyDescent="0.35">
      <c r="A1">
        <v>7</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E99562-4E51-4B20-8E63-D06970404A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Analysis (2)</vt:lpstr>
      <vt:lpstr>Research Questions</vt:lpstr>
      <vt:lpstr>Global Inflation Cost of Living</vt:lpstr>
      <vt:lpstr>Global_Inflation_Cost_of_Living</vt:lpstr>
      <vt:lpstr>Pivot Analysis</vt:lpstr>
      <vt:lpstr>Correlation</vt:lpstr>
      <vt:lpstr>Interpretation</vt:lpstr>
      <vt:lpstr>Introduction</vt:lpstr>
      <vt:lpstr>Master Data (1)</vt:lpstr>
      <vt:lpstr>Executive Summary</vt:lpstr>
      <vt:lpstr>Excel 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FIELD-SBZ</cp:lastModifiedBy>
  <cp:lastPrinted>2026-09-04T02:49:21Z</cp:lastPrinted>
  <dcterms:created xsi:type="dcterms:W3CDTF">2026-08-10T16:40:04Z</dcterms:created>
  <dcterms:modified xsi:type="dcterms:W3CDTF">2026-09-11T00:12:43Z</dcterms:modified>
</cp:coreProperties>
</file>